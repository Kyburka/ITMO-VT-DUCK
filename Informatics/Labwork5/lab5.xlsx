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<sst xmlns="http://schemas.openxmlformats.org/spreadsheetml/2006/main" count="190" uniqueCount="75">
  <si>
    <t xml:space="preserve">A=</t>
  </si>
  <si>
    <t xml:space="preserve">C=</t>
  </si>
  <si>
    <t xml:space="preserve">Результат корректен.</t>
  </si>
  <si>
    <t xml:space="preserve">Результат корректен. Перенос из старшего разряда не учитывается.</t>
  </si>
  <si>
    <t xml:space="preserve">При сложении положительных чисел получен отрицательный результат. Произошло переполнение.</t>
  </si>
  <si>
    <t xml:space="preserve">При сложении отрицательных чисел получен положительный результат Произошло переполнение.</t>
  </si>
  <si>
    <t xml:space="preserve">ОДЗ</t>
  </si>
  <si>
    <r>
      <rPr>
        <sz val="10"/>
        <rFont val="Arial"/>
        <family val="2"/>
        <charset val="204"/>
      </rPr>
      <t xml:space="preserve">[-2</t>
    </r>
    <r>
      <rPr>
        <vertAlign val="superscript"/>
        <sz val="11"/>
        <color rgb="FF000000"/>
        <rFont val="Calibri"/>
        <family val="2"/>
        <charset val="204"/>
      </rPr>
      <t xml:space="preserve">15</t>
    </r>
    <r>
      <rPr>
        <sz val="11"/>
        <color rgb="FF000000"/>
        <rFont val="Calibri"/>
        <family val="2"/>
        <charset val="204"/>
      </rPr>
      <t xml:space="preserve">;2</t>
    </r>
    <r>
      <rPr>
        <vertAlign val="superscript"/>
        <sz val="11"/>
        <color rgb="FF000000"/>
        <rFont val="Calibri"/>
        <family val="2"/>
        <charset val="204"/>
      </rPr>
      <t xml:space="preserve">15</t>
    </r>
    <r>
      <rPr>
        <sz val="11"/>
        <color rgb="FF000000"/>
        <rFont val="Calibri"/>
        <family val="2"/>
        <charset val="204"/>
      </rPr>
      <t xml:space="preserve">-1]</t>
    </r>
  </si>
  <si>
    <t xml:space="preserve">X1=</t>
  </si>
  <si>
    <t xml:space="preserve">B1 = </t>
  </si>
  <si>
    <t xml:space="preserve">X2=</t>
  </si>
  <si>
    <t xml:space="preserve">B2 =</t>
  </si>
  <si>
    <t xml:space="preserve">X3=</t>
  </si>
  <si>
    <t xml:space="preserve">A+C=</t>
  </si>
  <si>
    <t xml:space="preserve">B3 =</t>
  </si>
  <si>
    <t xml:space="preserve">X4=</t>
  </si>
  <si>
    <t xml:space="preserve">A+C+C=</t>
  </si>
  <si>
    <t xml:space="preserve">B4 =</t>
  </si>
  <si>
    <t xml:space="preserve">X5=</t>
  </si>
  <si>
    <t xml:space="preserve">C-A=</t>
  </si>
  <si>
    <t xml:space="preserve">B5 =</t>
  </si>
  <si>
    <t xml:space="preserve">X6=</t>
  </si>
  <si>
    <t xml:space="preserve">65536-X4=</t>
  </si>
  <si>
    <t xml:space="preserve">B6 =</t>
  </si>
  <si>
    <t xml:space="preserve">X7=</t>
  </si>
  <si>
    <t xml:space="preserve">-X1=</t>
  </si>
  <si>
    <t xml:space="preserve">B7 =</t>
  </si>
  <si>
    <t xml:space="preserve">-B1=</t>
  </si>
  <si>
    <t xml:space="preserve">X8=</t>
  </si>
  <si>
    <t xml:space="preserve">-X2=</t>
  </si>
  <si>
    <t xml:space="preserve">B8 =</t>
  </si>
  <si>
    <t xml:space="preserve">-B2=</t>
  </si>
  <si>
    <t xml:space="preserve">X9=</t>
  </si>
  <si>
    <t xml:space="preserve">-X3=</t>
  </si>
  <si>
    <t xml:space="preserve">B9 =</t>
  </si>
  <si>
    <t xml:space="preserve">-B3=</t>
  </si>
  <si>
    <t xml:space="preserve">X10=</t>
  </si>
  <si>
    <t xml:space="preserve">-X4=</t>
  </si>
  <si>
    <t xml:space="preserve">B10 =</t>
  </si>
  <si>
    <t xml:space="preserve">-B4=</t>
  </si>
  <si>
    <t xml:space="preserve">X11=</t>
  </si>
  <si>
    <t xml:space="preserve">-X5=</t>
  </si>
  <si>
    <t xml:space="preserve">B11 =</t>
  </si>
  <si>
    <t xml:space="preserve">-B5=</t>
  </si>
  <si>
    <t xml:space="preserve">X12=</t>
  </si>
  <si>
    <t xml:space="preserve">-X6=</t>
  </si>
  <si>
    <t xml:space="preserve">B12 =</t>
  </si>
  <si>
    <t xml:space="preserve">-B6=</t>
  </si>
  <si>
    <t xml:space="preserve">B1</t>
  </si>
  <si>
    <t xml:space="preserve">X1</t>
  </si>
  <si>
    <t xml:space="preserve">+</t>
  </si>
  <si>
    <t xml:space="preserve">B2</t>
  </si>
  <si>
    <t xml:space="preserve">Из двоичной:</t>
  </si>
  <si>
    <t xml:space="preserve">X2</t>
  </si>
  <si>
    <t xml:space="preserve">=</t>
  </si>
  <si>
    <t xml:space="preserve">Доп.код</t>
  </si>
  <si>
    <t xml:space="preserve">(Только если</t>
  </si>
  <si>
    <t xml:space="preserve">15 бит = 1)</t>
  </si>
  <si>
    <t xml:space="preserve">.</t>
  </si>
  <si>
    <t xml:space="preserve">SF=</t>
  </si>
  <si>
    <t xml:space="preserve">ZF=</t>
  </si>
  <si>
    <t xml:space="preserve">PF=</t>
  </si>
  <si>
    <t xml:space="preserve">AF=</t>
  </si>
  <si>
    <t xml:space="preserve">CF=</t>
  </si>
  <si>
    <t xml:space="preserve">OF=</t>
  </si>
  <si>
    <t xml:space="preserve">B3</t>
  </si>
  <si>
    <t xml:space="preserve">X3</t>
  </si>
  <si>
    <t xml:space="preserve">B7</t>
  </si>
  <si>
    <t xml:space="preserve">X7</t>
  </si>
  <si>
    <t xml:space="preserve">B8</t>
  </si>
  <si>
    <t xml:space="preserve">X8</t>
  </si>
  <si>
    <t xml:space="preserve">B9</t>
  </si>
  <si>
    <t xml:space="preserve">X9</t>
  </si>
  <si>
    <t xml:space="preserve">B11</t>
  </si>
  <si>
    <t xml:space="preserve">X11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</si>
</sst>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&quot;ИСТИНА&quot;;&quot;ИСТИНА&quot;;&quot;ЛОЖЬ&quot;"/>
  </numFmts>
  <fonts count="10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Liberation Mono;Courier New;DejaVu Sans Mono"/>
      <family val="3"/>
      <charset val="204"/>
    </font>
    <font>
      <sz val="11"/>
      <color theme="0"/>
      <name val="Calibri"/>
      <family val="2"/>
      <charset val="204"/>
    </font>
    <font>
      <sz val="11"/>
      <color theme="1" tint="0.4999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80808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6"/>
  <sheetViews>
    <sheetView showFormulas="false" showGridLines="true" showRowColHeaders="true" showZeros="true" rightToLeft="false" tabSelected="true" showOutlineSymbols="true" defaultGridColor="true" view="normal" topLeftCell="A4" colorId="64" zoomScale="80" zoomScaleNormal="80" zoomScalePageLayoutView="100" workbookViewId="0">
      <selection pane="topLeft" activeCell="Y25" activeCellId="0" sqref="Y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57"/>
    <col collapsed="false" customWidth="true" hidden="false" outlineLevel="0" max="3" min="3" style="1" width="10.61"/>
    <col collapsed="false" customWidth="true" hidden="false" outlineLevel="0" max="4" min="4" style="0" width="4.14"/>
    <col collapsed="false" customWidth="true" hidden="false" outlineLevel="0" max="5" min="5" style="0" width="16.18"/>
    <col collapsed="false" customWidth="true" hidden="false" outlineLevel="0" max="6" min="6" style="0" width="15.38"/>
    <col collapsed="false" customWidth="true" hidden="false" outlineLevel="0" max="25" min="7" style="0" width="4.65"/>
    <col collapsed="false" customWidth="false" hidden="false" outlineLevel="0" max="26" min="26" style="2" width="11.53"/>
    <col collapsed="false" customWidth="true" hidden="false" outlineLevel="0" max="29" min="29" style="0" width="3.82"/>
  </cols>
  <sheetData>
    <row r="1" customFormat="false" ht="12.8" hidden="false" customHeight="false" outlineLevel="0" collapsed="false">
      <c r="A1" s="3" t="s">
        <v>0</v>
      </c>
      <c r="B1" s="4" t="n">
        <v>3617</v>
      </c>
    </row>
    <row r="2" customFormat="false" ht="12.8" hidden="false" customHeight="false" outlineLevel="0" collapsed="false">
      <c r="A2" s="3" t="s">
        <v>1</v>
      </c>
      <c r="B2" s="4" t="n">
        <v>28062</v>
      </c>
    </row>
    <row r="3" customFormat="false" ht="13.8" hidden="false" customHeight="false" outlineLevel="0" collapsed="false">
      <c r="B3" s="5"/>
      <c r="C3" s="6"/>
      <c r="AC3" s="7" t="s">
        <v>2</v>
      </c>
    </row>
    <row r="4" customFormat="false" ht="13.8" hidden="false" customHeight="false" outlineLevel="0" collapsed="false">
      <c r="B4" s="5"/>
      <c r="C4" s="6"/>
      <c r="AC4" s="7" t="s">
        <v>3</v>
      </c>
    </row>
    <row r="5" customFormat="false" ht="13.8" hidden="false" customHeight="false" outlineLevel="0" collapsed="false">
      <c r="B5" s="5"/>
      <c r="C5" s="6"/>
      <c r="AC5" s="7" t="s">
        <v>4</v>
      </c>
    </row>
    <row r="6" customFormat="false" ht="13.8" hidden="false" customHeight="false" outlineLevel="0" collapsed="false">
      <c r="B6" s="5"/>
      <c r="C6" s="6"/>
      <c r="AC6" s="7" t="s">
        <v>5</v>
      </c>
    </row>
    <row r="7" customFormat="false" ht="14" hidden="false" customHeight="false" outlineLevel="0" collapsed="false">
      <c r="C7" s="0"/>
      <c r="G7" s="8" t="n">
        <v>15</v>
      </c>
      <c r="H7" s="8" t="n">
        <v>14</v>
      </c>
      <c r="I7" s="8" t="n">
        <v>13</v>
      </c>
      <c r="J7" s="8" t="n">
        <v>12</v>
      </c>
      <c r="K7" s="8"/>
      <c r="L7" s="8" t="n">
        <v>11</v>
      </c>
      <c r="M7" s="8" t="n">
        <v>10</v>
      </c>
      <c r="N7" s="8" t="n">
        <v>9</v>
      </c>
      <c r="O7" s="8" t="n">
        <v>8</v>
      </c>
      <c r="P7" s="8"/>
      <c r="Q7" s="8" t="n">
        <v>7</v>
      </c>
      <c r="R7" s="8" t="n">
        <v>6</v>
      </c>
      <c r="S7" s="8" t="n">
        <v>5</v>
      </c>
      <c r="T7" s="8" t="n">
        <v>4</v>
      </c>
      <c r="U7" s="8"/>
      <c r="V7" s="8" t="n">
        <v>3</v>
      </c>
      <c r="W7" s="8" t="n">
        <v>2</v>
      </c>
      <c r="X7" s="8" t="n">
        <v>1</v>
      </c>
      <c r="Y7" s="8" t="n">
        <v>0</v>
      </c>
      <c r="AA7" s="0" t="s">
        <v>6</v>
      </c>
      <c r="AB7" s="0" t="s">
        <v>7</v>
      </c>
    </row>
    <row r="8" customFormat="false" ht="12.8" hidden="false" customHeight="false" outlineLevel="0" collapsed="false">
      <c r="A8" s="9" t="s">
        <v>8</v>
      </c>
      <c r="B8" s="3" t="s">
        <v>0</v>
      </c>
      <c r="C8" s="5" t="n">
        <f aca="false">B1</f>
        <v>3617</v>
      </c>
      <c r="E8" s="0" t="s">
        <v>9</v>
      </c>
      <c r="G8" s="2" t="str">
        <f aca="false">IF(G$7="",".",MID(IF($C8&gt;0,_xlfn.BASE($C8,2,16),_xlfn.BASE($C8+2^16,2,16)),ABS(G$7-16),1))</f>
        <v>0</v>
      </c>
      <c r="H8" s="2" t="str">
        <f aca="false">IF(H$7="",".",MID(IF($C8&gt;0,_xlfn.BASE($C8,2,16),_xlfn.BASE($C8+2^16,2,16)),ABS(H$7-16),1))</f>
        <v>0</v>
      </c>
      <c r="I8" s="2" t="str">
        <f aca="false">IF(I$7="",".",MID(IF($C8&gt;0,_xlfn.BASE($C8,2,16),_xlfn.BASE($C8+2^16,2,16)),ABS(I$7-16),1))</f>
        <v>0</v>
      </c>
      <c r="J8" s="2" t="str">
        <f aca="false">IF(J$7="",".",MID(IF($C8&gt;0,_xlfn.BASE($C8,2,16),_xlfn.BASE($C8+2^16,2,16)),ABS(J$7-16),1))</f>
        <v>0</v>
      </c>
      <c r="K8" s="2" t="str">
        <f aca="false">IF(K$7="",".",MID(IF($C8&gt;0,_xlfn.BASE($C8,2,16),_xlfn.BASE($C8+2^16,2,16)),ABS(K$7-16),1))</f>
        <v>.</v>
      </c>
      <c r="L8" s="2" t="str">
        <f aca="false">IF(L$7="",".",MID(IF($C8&gt;0,_xlfn.BASE($C8,2,16),_xlfn.BASE($C8+2^16,2,16)),ABS(L$7-16),1))</f>
        <v>1</v>
      </c>
      <c r="M8" s="2" t="str">
        <f aca="false">IF(M$7="",".",MID(IF($C8&gt;0,_xlfn.BASE($C8,2,16),_xlfn.BASE($C8+2^16,2,16)),ABS(M$7-16),1))</f>
        <v>1</v>
      </c>
      <c r="N8" s="2" t="str">
        <f aca="false">IF(N$7="",".",MID(IF($C8&gt;0,_xlfn.BASE($C8,2,16),_xlfn.BASE($C8+2^16,2,16)),ABS(N$7-16),1))</f>
        <v>1</v>
      </c>
      <c r="O8" s="2" t="str">
        <f aca="false">IF(O$7="",".",MID(IF($C8&gt;0,_xlfn.BASE($C8,2,16),_xlfn.BASE($C8+2^16,2,16)),ABS(O$7-16),1))</f>
        <v>0</v>
      </c>
      <c r="P8" s="2" t="str">
        <f aca="false">IF(P$7="",".",MID(IF($C8&gt;0,_xlfn.BASE($C8,2,16),_xlfn.BASE($C8+2^16,2,16)),ABS(P$7-16),1))</f>
        <v>.</v>
      </c>
      <c r="Q8" s="2" t="str">
        <f aca="false">IF(Q$7="",".",MID(IF($C8&gt;0,_xlfn.BASE($C8,2,16),_xlfn.BASE($C8+2^16,2,16)),ABS(Q$7-16),1))</f>
        <v>0</v>
      </c>
      <c r="R8" s="2" t="str">
        <f aca="false">IF(R$7="",".",MID(IF($C8&gt;0,_xlfn.BASE($C8,2,16),_xlfn.BASE($C8+2^16,2,16)),ABS(R$7-16),1))</f>
        <v>0</v>
      </c>
      <c r="S8" s="2" t="str">
        <f aca="false">IF(S$7="",".",MID(IF($C8&gt;0,_xlfn.BASE($C8,2,16),_xlfn.BASE($C8+2^16,2,16)),ABS(S$7-16),1))</f>
        <v>1</v>
      </c>
      <c r="T8" s="2" t="str">
        <f aca="false">IF(T$7="",".",MID(IF($C8&gt;0,_xlfn.BASE($C8,2,16),_xlfn.BASE($C8+2^16,2,16)),ABS(T$7-16),1))</f>
        <v>0</v>
      </c>
      <c r="U8" s="2" t="str">
        <f aca="false">IF(U$7="",".",MID(IF($C8&gt;0,_xlfn.BASE($C8,2,16),_xlfn.BASE($C8+2^16,2,16)),ABS(U$7-16),1))</f>
        <v>.</v>
      </c>
      <c r="V8" s="2" t="str">
        <f aca="false">IF(V$7="",".",MID(IF($C8&gt;0,_xlfn.BASE($C8,2,16),_xlfn.BASE($C8+2^16,2,16)),ABS(V$7-16),1))</f>
        <v>0</v>
      </c>
      <c r="W8" s="2" t="str">
        <f aca="false">IF(W$7="",".",MID(IF($C8&gt;0,_xlfn.BASE($C8,2,16),_xlfn.BASE($C8+2^16,2,16)),ABS(W$7-16),1))</f>
        <v>0</v>
      </c>
      <c r="X8" s="2" t="str">
        <f aca="false">IF(X$7="",".",MID(IF($C8&gt;0,_xlfn.BASE($C8,2,16),_xlfn.BASE($C8+2^16,2,16)),ABS(X$7-16),1))</f>
        <v>0</v>
      </c>
      <c r="Y8" s="2" t="str">
        <f aca="false">IF(Y$7="",".",MID(IF($C8&gt;0,_xlfn.BASE($C8,2,16),_xlfn.BASE($C8+2^16,2,16)),ABS(Y$7-16),1))</f>
        <v>1</v>
      </c>
    </row>
    <row r="9" customFormat="false" ht="12.8" hidden="false" customHeight="false" outlineLevel="0" collapsed="false">
      <c r="A9" s="9" t="s">
        <v>10</v>
      </c>
      <c r="B9" s="3" t="s">
        <v>1</v>
      </c>
      <c r="C9" s="5" t="n">
        <f aca="false">B2</f>
        <v>28062</v>
      </c>
      <c r="E9" s="0" t="s">
        <v>11</v>
      </c>
      <c r="G9" s="2" t="str">
        <f aca="false">IF(G$7="",".",MID(IF($C9&gt;0,_xlfn.BASE($C9,2,16),_xlfn.BASE($C9+2^16,2,16)),ABS(G$7-16),1))</f>
        <v>0</v>
      </c>
      <c r="H9" s="2" t="str">
        <f aca="false">IF(H$7="",".",MID(IF($C9&gt;0,_xlfn.BASE($C9,2,16),_xlfn.BASE($C9+2^16,2,16)),ABS(H$7-16),1))</f>
        <v>1</v>
      </c>
      <c r="I9" s="2" t="str">
        <f aca="false">IF(I$7="",".",MID(IF($C9&gt;0,_xlfn.BASE($C9,2,16),_xlfn.BASE($C9+2^16,2,16)),ABS(I$7-16),1))</f>
        <v>1</v>
      </c>
      <c r="J9" s="2" t="str">
        <f aca="false">IF(J$7="",".",MID(IF($C9&gt;0,_xlfn.BASE($C9,2,16),_xlfn.BASE($C9+2^16,2,16)),ABS(J$7-16),1))</f>
        <v>0</v>
      </c>
      <c r="K9" s="2" t="str">
        <f aca="false">IF(K$7="",".",MID(IF($C9&gt;0,_xlfn.BASE($C9,2,16),_xlfn.BASE($C9+2^16,2,16)),ABS(K$7-16),1))</f>
        <v>.</v>
      </c>
      <c r="L9" s="2" t="str">
        <f aca="false">IF(L$7="",".",MID(IF($C9&gt;0,_xlfn.BASE($C9,2,16),_xlfn.BASE($C9+2^16,2,16)),ABS(L$7-16),1))</f>
        <v>1</v>
      </c>
      <c r="M9" s="2" t="str">
        <f aca="false">IF(M$7="",".",MID(IF($C9&gt;0,_xlfn.BASE($C9,2,16),_xlfn.BASE($C9+2^16,2,16)),ABS(M$7-16),1))</f>
        <v>1</v>
      </c>
      <c r="N9" s="2" t="str">
        <f aca="false">IF(N$7="",".",MID(IF($C9&gt;0,_xlfn.BASE($C9,2,16),_xlfn.BASE($C9+2^16,2,16)),ABS(N$7-16),1))</f>
        <v>0</v>
      </c>
      <c r="O9" s="2" t="str">
        <f aca="false">IF(O$7="",".",MID(IF($C9&gt;0,_xlfn.BASE($C9,2,16),_xlfn.BASE($C9+2^16,2,16)),ABS(O$7-16),1))</f>
        <v>1</v>
      </c>
      <c r="P9" s="2" t="str">
        <f aca="false">IF(P$7="",".",MID(IF($C9&gt;0,_xlfn.BASE($C9,2,16),_xlfn.BASE($C9+2^16,2,16)),ABS(P$7-16),1))</f>
        <v>.</v>
      </c>
      <c r="Q9" s="2" t="str">
        <f aca="false">IF(Q$7="",".",MID(IF($C9&gt;0,_xlfn.BASE($C9,2,16),_xlfn.BASE($C9+2^16,2,16)),ABS(Q$7-16),1))</f>
        <v>1</v>
      </c>
      <c r="R9" s="2" t="str">
        <f aca="false">IF(R$7="",".",MID(IF($C9&gt;0,_xlfn.BASE($C9,2,16),_xlfn.BASE($C9+2^16,2,16)),ABS(R$7-16),1))</f>
        <v>0</v>
      </c>
      <c r="S9" s="2" t="str">
        <f aca="false">IF(S$7="",".",MID(IF($C9&gt;0,_xlfn.BASE($C9,2,16),_xlfn.BASE($C9+2^16,2,16)),ABS(S$7-16),1))</f>
        <v>0</v>
      </c>
      <c r="T9" s="2" t="str">
        <f aca="false">IF(T$7="",".",MID(IF($C9&gt;0,_xlfn.BASE($C9,2,16),_xlfn.BASE($C9+2^16,2,16)),ABS(T$7-16),1))</f>
        <v>1</v>
      </c>
      <c r="U9" s="2" t="str">
        <f aca="false">IF(U$7="",".",MID(IF($C9&gt;0,_xlfn.BASE($C9,2,16),_xlfn.BASE($C9+2^16,2,16)),ABS(U$7-16),1))</f>
        <v>.</v>
      </c>
      <c r="V9" s="2" t="str">
        <f aca="false">IF(V$7="",".",MID(IF($C9&gt;0,_xlfn.BASE($C9,2,16),_xlfn.BASE($C9+2^16,2,16)),ABS(V$7-16),1))</f>
        <v>1</v>
      </c>
      <c r="W9" s="2" t="str">
        <f aca="false">IF(W$7="",".",MID(IF($C9&gt;0,_xlfn.BASE($C9,2,16),_xlfn.BASE($C9+2^16,2,16)),ABS(W$7-16),1))</f>
        <v>1</v>
      </c>
      <c r="X9" s="2" t="str">
        <f aca="false">IF(X$7="",".",MID(IF($C9&gt;0,_xlfn.BASE($C9,2,16),_xlfn.BASE($C9+2^16,2,16)),ABS(X$7-16),1))</f>
        <v>1</v>
      </c>
      <c r="Y9" s="2" t="str">
        <f aca="false">IF(Y$7="",".",MID(IF($C9&gt;0,_xlfn.BASE($C9,2,16),_xlfn.BASE($C9+2^16,2,16)),ABS(Y$7-16),1))</f>
        <v>0</v>
      </c>
    </row>
    <row r="10" customFormat="false" ht="12.8" hidden="false" customHeight="false" outlineLevel="0" collapsed="false">
      <c r="A10" s="9" t="s">
        <v>12</v>
      </c>
      <c r="B10" s="3" t="s">
        <v>13</v>
      </c>
      <c r="C10" s="5" t="n">
        <f aca="false">C8+C9</f>
        <v>31679</v>
      </c>
      <c r="E10" s="0" t="s">
        <v>14</v>
      </c>
      <c r="G10" s="2" t="str">
        <f aca="false">IF(G$7="",".",MID(IF($C10&gt;0,_xlfn.BASE($C10,2,16),_xlfn.BASE($C10+2^16,2,16)),ABS(G$7-16),1))</f>
        <v>0</v>
      </c>
      <c r="H10" s="2" t="str">
        <f aca="false">IF(H$7="",".",MID(IF($C10&gt;0,_xlfn.BASE($C10,2,16),_xlfn.BASE($C10+2^16,2,16)),ABS(H$7-16),1))</f>
        <v>1</v>
      </c>
      <c r="I10" s="2" t="str">
        <f aca="false">IF(I$7="",".",MID(IF($C10&gt;0,_xlfn.BASE($C10,2,16),_xlfn.BASE($C10+2^16,2,16)),ABS(I$7-16),1))</f>
        <v>1</v>
      </c>
      <c r="J10" s="2" t="str">
        <f aca="false">IF(J$7="",".",MID(IF($C10&gt;0,_xlfn.BASE($C10,2,16),_xlfn.BASE($C10+2^16,2,16)),ABS(J$7-16),1))</f>
        <v>1</v>
      </c>
      <c r="K10" s="2" t="str">
        <f aca="false">IF(K$7="",".",MID(IF($C10&gt;0,_xlfn.BASE($C10,2,16),_xlfn.BASE($C10+2^16,2,16)),ABS(K$7-16),1))</f>
        <v>.</v>
      </c>
      <c r="L10" s="2" t="str">
        <f aca="false">IF(L$7="",".",MID(IF($C10&gt;0,_xlfn.BASE($C10,2,16),_xlfn.BASE($C10+2^16,2,16)),ABS(L$7-16),1))</f>
        <v>1</v>
      </c>
      <c r="M10" s="2" t="str">
        <f aca="false">IF(M$7="",".",MID(IF($C10&gt;0,_xlfn.BASE($C10,2,16),_xlfn.BASE($C10+2^16,2,16)),ABS(M$7-16),1))</f>
        <v>0</v>
      </c>
      <c r="N10" s="2" t="str">
        <f aca="false">IF(N$7="",".",MID(IF($C10&gt;0,_xlfn.BASE($C10,2,16),_xlfn.BASE($C10+2^16,2,16)),ABS(N$7-16),1))</f>
        <v>1</v>
      </c>
      <c r="O10" s="2" t="str">
        <f aca="false">IF(O$7="",".",MID(IF($C10&gt;0,_xlfn.BASE($C10,2,16),_xlfn.BASE($C10+2^16,2,16)),ABS(O$7-16),1))</f>
        <v>1</v>
      </c>
      <c r="P10" s="2" t="str">
        <f aca="false">IF(P$7="",".",MID(IF($C10&gt;0,_xlfn.BASE($C10,2,16),_xlfn.BASE($C10+2^16,2,16)),ABS(P$7-16),1))</f>
        <v>.</v>
      </c>
      <c r="Q10" s="2" t="str">
        <f aca="false">IF(Q$7="",".",MID(IF($C10&gt;0,_xlfn.BASE($C10,2,16),_xlfn.BASE($C10+2^16,2,16)),ABS(Q$7-16),1))</f>
        <v>1</v>
      </c>
      <c r="R10" s="2" t="str">
        <f aca="false">IF(R$7="",".",MID(IF($C10&gt;0,_xlfn.BASE($C10,2,16),_xlfn.BASE($C10+2^16,2,16)),ABS(R$7-16),1))</f>
        <v>0</v>
      </c>
      <c r="S10" s="2" t="str">
        <f aca="false">IF(S$7="",".",MID(IF($C10&gt;0,_xlfn.BASE($C10,2,16),_xlfn.BASE($C10+2^16,2,16)),ABS(S$7-16),1))</f>
        <v>1</v>
      </c>
      <c r="T10" s="2" t="str">
        <f aca="false">IF(T$7="",".",MID(IF($C10&gt;0,_xlfn.BASE($C10,2,16),_xlfn.BASE($C10+2^16,2,16)),ABS(T$7-16),1))</f>
        <v>1</v>
      </c>
      <c r="U10" s="2" t="str">
        <f aca="false">IF(U$7="",".",MID(IF($C10&gt;0,_xlfn.BASE($C10,2,16),_xlfn.BASE($C10+2^16,2,16)),ABS(U$7-16),1))</f>
        <v>.</v>
      </c>
      <c r="V10" s="2" t="str">
        <f aca="false">IF(V$7="",".",MID(IF($C10&gt;0,_xlfn.BASE($C10,2,16),_xlfn.BASE($C10+2^16,2,16)),ABS(V$7-16),1))</f>
        <v>1</v>
      </c>
      <c r="W10" s="2" t="str">
        <f aca="false">IF(W$7="",".",MID(IF($C10&gt;0,_xlfn.BASE($C10,2,16),_xlfn.BASE($C10+2^16,2,16)),ABS(W$7-16),1))</f>
        <v>1</v>
      </c>
      <c r="X10" s="2" t="str">
        <f aca="false">IF(X$7="",".",MID(IF($C10&gt;0,_xlfn.BASE($C10,2,16),_xlfn.BASE($C10+2^16,2,16)),ABS(X$7-16),1))</f>
        <v>1</v>
      </c>
      <c r="Y10" s="2" t="str">
        <f aca="false">IF(Y$7="",".",MID(IF($C10&gt;0,_xlfn.BASE($C10,2,16),_xlfn.BASE($C10+2^16,2,16)),ABS(Y$7-16),1))</f>
        <v>1</v>
      </c>
    </row>
    <row r="11" customFormat="false" ht="12.8" hidden="false" customHeight="false" outlineLevel="0" collapsed="false">
      <c r="A11" s="9" t="s">
        <v>15</v>
      </c>
      <c r="B11" s="3" t="s">
        <v>16</v>
      </c>
      <c r="C11" s="5" t="n">
        <f aca="false">C8+2*C9</f>
        <v>59741</v>
      </c>
      <c r="E11" s="0" t="s">
        <v>17</v>
      </c>
      <c r="G11" s="2" t="str">
        <f aca="false">IF(G$7="",".",MID(IF($C11&gt;0,_xlfn.BASE($C11,2,16),_xlfn.BASE($C11+2^16,2,16)),ABS(G$7-16),1))</f>
        <v>1</v>
      </c>
      <c r="H11" s="2" t="str">
        <f aca="false">IF(H$7="",".",MID(IF($C11&gt;0,_xlfn.BASE($C11,2,16),_xlfn.BASE($C11+2^16,2,16)),ABS(H$7-16),1))</f>
        <v>1</v>
      </c>
      <c r="I11" s="2" t="str">
        <f aca="false">IF(I$7="",".",MID(IF($C11&gt;0,_xlfn.BASE($C11,2,16),_xlfn.BASE($C11+2^16,2,16)),ABS(I$7-16),1))</f>
        <v>1</v>
      </c>
      <c r="J11" s="2" t="str">
        <f aca="false">IF(J$7="",".",MID(IF($C11&gt;0,_xlfn.BASE($C11,2,16),_xlfn.BASE($C11+2^16,2,16)),ABS(J$7-16),1))</f>
        <v>0</v>
      </c>
      <c r="K11" s="2" t="str">
        <f aca="false">IF(K$7="",".",MID(IF($C11&gt;0,_xlfn.BASE($C11,2,16),_xlfn.BASE($C11+2^16,2,16)),ABS(K$7-16),1))</f>
        <v>.</v>
      </c>
      <c r="L11" s="2" t="str">
        <f aca="false">IF(L$7="",".",MID(IF($C11&gt;0,_xlfn.BASE($C11,2,16),_xlfn.BASE($C11+2^16,2,16)),ABS(L$7-16),1))</f>
        <v>1</v>
      </c>
      <c r="M11" s="2" t="str">
        <f aca="false">IF(M$7="",".",MID(IF($C11&gt;0,_xlfn.BASE($C11,2,16),_xlfn.BASE($C11+2^16,2,16)),ABS(M$7-16),1))</f>
        <v>0</v>
      </c>
      <c r="N11" s="2" t="str">
        <f aca="false">IF(N$7="",".",MID(IF($C11&gt;0,_xlfn.BASE($C11,2,16),_xlfn.BASE($C11+2^16,2,16)),ABS(N$7-16),1))</f>
        <v>0</v>
      </c>
      <c r="O11" s="2" t="str">
        <f aca="false">IF(O$7="",".",MID(IF($C11&gt;0,_xlfn.BASE($C11,2,16),_xlfn.BASE($C11+2^16,2,16)),ABS(O$7-16),1))</f>
        <v>1</v>
      </c>
      <c r="P11" s="2" t="str">
        <f aca="false">IF(P$7="",".",MID(IF($C11&gt;0,_xlfn.BASE($C11,2,16),_xlfn.BASE($C11+2^16,2,16)),ABS(P$7-16),1))</f>
        <v>.</v>
      </c>
      <c r="Q11" s="2" t="str">
        <f aca="false">IF(Q$7="",".",MID(IF($C11&gt;0,_xlfn.BASE($C11,2,16),_xlfn.BASE($C11+2^16,2,16)),ABS(Q$7-16),1))</f>
        <v>0</v>
      </c>
      <c r="R11" s="2" t="str">
        <f aca="false">IF(R$7="",".",MID(IF($C11&gt;0,_xlfn.BASE($C11,2,16),_xlfn.BASE($C11+2^16,2,16)),ABS(R$7-16),1))</f>
        <v>1</v>
      </c>
      <c r="S11" s="2" t="str">
        <f aca="false">IF(S$7="",".",MID(IF($C11&gt;0,_xlfn.BASE($C11,2,16),_xlfn.BASE($C11+2^16,2,16)),ABS(S$7-16),1))</f>
        <v>0</v>
      </c>
      <c r="T11" s="2" t="str">
        <f aca="false">IF(T$7="",".",MID(IF($C11&gt;0,_xlfn.BASE($C11,2,16),_xlfn.BASE($C11+2^16,2,16)),ABS(T$7-16),1))</f>
        <v>1</v>
      </c>
      <c r="U11" s="2" t="str">
        <f aca="false">IF(U$7="",".",MID(IF($C11&gt;0,_xlfn.BASE($C11,2,16),_xlfn.BASE($C11+2^16,2,16)),ABS(U$7-16),1))</f>
        <v>.</v>
      </c>
      <c r="V11" s="2" t="str">
        <f aca="false">IF(V$7="",".",MID(IF($C11&gt;0,_xlfn.BASE($C11,2,16),_xlfn.BASE($C11+2^16,2,16)),ABS(V$7-16),1))</f>
        <v>1</v>
      </c>
      <c r="W11" s="2" t="str">
        <f aca="false">IF(W$7="",".",MID(IF($C11&gt;0,_xlfn.BASE($C11,2,16),_xlfn.BASE($C11+2^16,2,16)),ABS(W$7-16),1))</f>
        <v>1</v>
      </c>
      <c r="X11" s="2" t="str">
        <f aca="false">IF(X$7="",".",MID(IF($C11&gt;0,_xlfn.BASE($C11,2,16),_xlfn.BASE($C11+2^16,2,16)),ABS(X$7-16),1))</f>
        <v>0</v>
      </c>
      <c r="Y11" s="2" t="str">
        <f aca="false">IF(Y$7="",".",MID(IF($C11&gt;0,_xlfn.BASE($C11,2,16),_xlfn.BASE($C11+2^16,2,16)),ABS(Y$7-16),1))</f>
        <v>1</v>
      </c>
    </row>
    <row r="12" customFormat="false" ht="12.8" hidden="false" customHeight="false" outlineLevel="0" collapsed="false">
      <c r="A12" s="9" t="s">
        <v>18</v>
      </c>
      <c r="B12" s="3" t="s">
        <v>19</v>
      </c>
      <c r="C12" s="5" t="n">
        <f aca="false">C9-C8</f>
        <v>24445</v>
      </c>
      <c r="E12" s="0" t="s">
        <v>20</v>
      </c>
      <c r="G12" s="2" t="str">
        <f aca="false">IF(G$7="",".",MID(IF($C12&gt;0,_xlfn.BASE($C12,2,16),_xlfn.BASE($C12+2^16,2,16)),ABS(G$7-16),1))</f>
        <v>0</v>
      </c>
      <c r="H12" s="2" t="str">
        <f aca="false">IF(H$7="",".",MID(IF($C12&gt;0,_xlfn.BASE($C12,2,16),_xlfn.BASE($C12+2^16,2,16)),ABS(H$7-16),1))</f>
        <v>1</v>
      </c>
      <c r="I12" s="2" t="str">
        <f aca="false">IF(I$7="",".",MID(IF($C12&gt;0,_xlfn.BASE($C12,2,16),_xlfn.BASE($C12+2^16,2,16)),ABS(I$7-16),1))</f>
        <v>0</v>
      </c>
      <c r="J12" s="2" t="str">
        <f aca="false">IF(J$7="",".",MID(IF($C12&gt;0,_xlfn.BASE($C12,2,16),_xlfn.BASE($C12+2^16,2,16)),ABS(J$7-16),1))</f>
        <v>1</v>
      </c>
      <c r="K12" s="2" t="str">
        <f aca="false">IF(K$7="",".",MID(IF($C12&gt;0,_xlfn.BASE($C12,2,16),_xlfn.BASE($C12+2^16,2,16)),ABS(K$7-16),1))</f>
        <v>.</v>
      </c>
      <c r="L12" s="2" t="str">
        <f aca="false">IF(L$7="",".",MID(IF($C12&gt;0,_xlfn.BASE($C12,2,16),_xlfn.BASE($C12+2^16,2,16)),ABS(L$7-16),1))</f>
        <v>1</v>
      </c>
      <c r="M12" s="2" t="str">
        <f aca="false">IF(M$7="",".",MID(IF($C12&gt;0,_xlfn.BASE($C12,2,16),_xlfn.BASE($C12+2^16,2,16)),ABS(M$7-16),1))</f>
        <v>1</v>
      </c>
      <c r="N12" s="2" t="str">
        <f aca="false">IF(N$7="",".",MID(IF($C12&gt;0,_xlfn.BASE($C12,2,16),_xlfn.BASE($C12+2^16,2,16)),ABS(N$7-16),1))</f>
        <v>1</v>
      </c>
      <c r="O12" s="2" t="str">
        <f aca="false">IF(O$7="",".",MID(IF($C12&gt;0,_xlfn.BASE($C12,2,16),_xlfn.BASE($C12+2^16,2,16)),ABS(O$7-16),1))</f>
        <v>1</v>
      </c>
      <c r="P12" s="2" t="str">
        <f aca="false">IF(P$7="",".",MID(IF($C12&gt;0,_xlfn.BASE($C12,2,16),_xlfn.BASE($C12+2^16,2,16)),ABS(P$7-16),1))</f>
        <v>.</v>
      </c>
      <c r="Q12" s="2" t="str">
        <f aca="false">IF(Q$7="",".",MID(IF($C12&gt;0,_xlfn.BASE($C12,2,16),_xlfn.BASE($C12+2^16,2,16)),ABS(Q$7-16),1))</f>
        <v>0</v>
      </c>
      <c r="R12" s="2" t="str">
        <f aca="false">IF(R$7="",".",MID(IF($C12&gt;0,_xlfn.BASE($C12,2,16),_xlfn.BASE($C12+2^16,2,16)),ABS(R$7-16),1))</f>
        <v>1</v>
      </c>
      <c r="S12" s="2" t="str">
        <f aca="false">IF(S$7="",".",MID(IF($C12&gt;0,_xlfn.BASE($C12,2,16),_xlfn.BASE($C12+2^16,2,16)),ABS(S$7-16),1))</f>
        <v>1</v>
      </c>
      <c r="T12" s="2" t="str">
        <f aca="false">IF(T$7="",".",MID(IF($C12&gt;0,_xlfn.BASE($C12,2,16),_xlfn.BASE($C12+2^16,2,16)),ABS(T$7-16),1))</f>
        <v>1</v>
      </c>
      <c r="U12" s="2" t="str">
        <f aca="false">IF(U$7="",".",MID(IF($C12&gt;0,_xlfn.BASE($C12,2,16),_xlfn.BASE($C12+2^16,2,16)),ABS(U$7-16),1))</f>
        <v>.</v>
      </c>
      <c r="V12" s="2" t="str">
        <f aca="false">IF(V$7="",".",MID(IF($C12&gt;0,_xlfn.BASE($C12,2,16),_xlfn.BASE($C12+2^16,2,16)),ABS(V$7-16),1))</f>
        <v>1</v>
      </c>
      <c r="W12" s="2" t="str">
        <f aca="false">IF(W$7="",".",MID(IF($C12&gt;0,_xlfn.BASE($C12,2,16),_xlfn.BASE($C12+2^16,2,16)),ABS(W$7-16),1))</f>
        <v>1</v>
      </c>
      <c r="X12" s="2" t="str">
        <f aca="false">IF(X$7="",".",MID(IF($C12&gt;0,_xlfn.BASE($C12,2,16),_xlfn.BASE($C12+2^16,2,16)),ABS(X$7-16),1))</f>
        <v>0</v>
      </c>
      <c r="Y12" s="2" t="str">
        <f aca="false">IF(Y$7="",".",MID(IF($C12&gt;0,_xlfn.BASE($C12,2,16),_xlfn.BASE($C12+2^16,2,16)),ABS(Y$7-16),1))</f>
        <v>1</v>
      </c>
    </row>
    <row r="13" customFormat="false" ht="12.8" hidden="false" customHeight="false" outlineLevel="0" collapsed="false">
      <c r="A13" s="9" t="s">
        <v>21</v>
      </c>
      <c r="B13" s="3" t="s">
        <v>22</v>
      </c>
      <c r="C13" s="5" t="n">
        <f aca="false">65536-C11</f>
        <v>5795</v>
      </c>
      <c r="E13" s="0" t="s">
        <v>23</v>
      </c>
      <c r="G13" s="2" t="str">
        <f aca="false">IF(G$7="",".",MID(IF($C13&gt;0,_xlfn.BASE($C13,2,16),_xlfn.BASE($C13+2^16,2,16)),ABS(G$7-16),1))</f>
        <v>0</v>
      </c>
      <c r="H13" s="2" t="str">
        <f aca="false">IF(H$7="",".",MID(IF($C13&gt;0,_xlfn.BASE($C13,2,16),_xlfn.BASE($C13+2^16,2,16)),ABS(H$7-16),1))</f>
        <v>0</v>
      </c>
      <c r="I13" s="2" t="str">
        <f aca="false">IF(I$7="",".",MID(IF($C13&gt;0,_xlfn.BASE($C13,2,16),_xlfn.BASE($C13+2^16,2,16)),ABS(I$7-16),1))</f>
        <v>0</v>
      </c>
      <c r="J13" s="2" t="str">
        <f aca="false">IF(J$7="",".",MID(IF($C13&gt;0,_xlfn.BASE($C13,2,16),_xlfn.BASE($C13+2^16,2,16)),ABS(J$7-16),1))</f>
        <v>1</v>
      </c>
      <c r="K13" s="2" t="str">
        <f aca="false">IF(K$7="",".",MID(IF($C13&gt;0,_xlfn.BASE($C13,2,16),_xlfn.BASE($C13+2^16,2,16)),ABS(K$7-16),1))</f>
        <v>.</v>
      </c>
      <c r="L13" s="2" t="str">
        <f aca="false">IF(L$7="",".",MID(IF($C13&gt;0,_xlfn.BASE($C13,2,16),_xlfn.BASE($C13+2^16,2,16)),ABS(L$7-16),1))</f>
        <v>0</v>
      </c>
      <c r="M13" s="2" t="str">
        <f aca="false">IF(M$7="",".",MID(IF($C13&gt;0,_xlfn.BASE($C13,2,16),_xlfn.BASE($C13+2^16,2,16)),ABS(M$7-16),1))</f>
        <v>1</v>
      </c>
      <c r="N13" s="2" t="str">
        <f aca="false">IF(N$7="",".",MID(IF($C13&gt;0,_xlfn.BASE($C13,2,16),_xlfn.BASE($C13+2^16,2,16)),ABS(N$7-16),1))</f>
        <v>1</v>
      </c>
      <c r="O13" s="2" t="str">
        <f aca="false">IF(O$7="",".",MID(IF($C13&gt;0,_xlfn.BASE($C13,2,16),_xlfn.BASE($C13+2^16,2,16)),ABS(O$7-16),1))</f>
        <v>0</v>
      </c>
      <c r="P13" s="2" t="str">
        <f aca="false">IF(P$7="",".",MID(IF($C13&gt;0,_xlfn.BASE($C13,2,16),_xlfn.BASE($C13+2^16,2,16)),ABS(P$7-16),1))</f>
        <v>.</v>
      </c>
      <c r="Q13" s="2" t="str">
        <f aca="false">IF(Q$7="",".",MID(IF($C13&gt;0,_xlfn.BASE($C13,2,16),_xlfn.BASE($C13+2^16,2,16)),ABS(Q$7-16),1))</f>
        <v>1</v>
      </c>
      <c r="R13" s="2" t="str">
        <f aca="false">IF(R$7="",".",MID(IF($C13&gt;0,_xlfn.BASE($C13,2,16),_xlfn.BASE($C13+2^16,2,16)),ABS(R$7-16),1))</f>
        <v>0</v>
      </c>
      <c r="S13" s="2" t="str">
        <f aca="false">IF(S$7="",".",MID(IF($C13&gt;0,_xlfn.BASE($C13,2,16),_xlfn.BASE($C13+2^16,2,16)),ABS(S$7-16),1))</f>
        <v>1</v>
      </c>
      <c r="T13" s="2" t="str">
        <f aca="false">IF(T$7="",".",MID(IF($C13&gt;0,_xlfn.BASE($C13,2,16),_xlfn.BASE($C13+2^16,2,16)),ABS(T$7-16),1))</f>
        <v>0</v>
      </c>
      <c r="U13" s="2" t="str">
        <f aca="false">IF(U$7="",".",MID(IF($C13&gt;0,_xlfn.BASE($C13,2,16),_xlfn.BASE($C13+2^16,2,16)),ABS(U$7-16),1))</f>
        <v>.</v>
      </c>
      <c r="V13" s="2" t="str">
        <f aca="false">IF(V$7="",".",MID(IF($C13&gt;0,_xlfn.BASE($C13,2,16),_xlfn.BASE($C13+2^16,2,16)),ABS(V$7-16),1))</f>
        <v>0</v>
      </c>
      <c r="W13" s="2" t="str">
        <f aca="false">IF(W$7="",".",MID(IF($C13&gt;0,_xlfn.BASE($C13,2,16),_xlfn.BASE($C13+2^16,2,16)),ABS(W$7-16),1))</f>
        <v>0</v>
      </c>
      <c r="X13" s="2" t="str">
        <f aca="false">IF(X$7="",".",MID(IF($C13&gt;0,_xlfn.BASE($C13,2,16),_xlfn.BASE($C13+2^16,2,16)),ABS(X$7-16),1))</f>
        <v>1</v>
      </c>
      <c r="Y13" s="2" t="str">
        <f aca="false">IF(Y$7="",".",MID(IF($C13&gt;0,_xlfn.BASE($C13,2,16),_xlfn.BASE($C13+2^16,2,16)),ABS(Y$7-16),1))</f>
        <v>1</v>
      </c>
    </row>
    <row r="14" customFormat="false" ht="12.8" hidden="false" customHeight="false" outlineLevel="0" collapsed="false">
      <c r="A14" s="9" t="s">
        <v>24</v>
      </c>
      <c r="B14" s="3" t="s">
        <v>25</v>
      </c>
      <c r="C14" s="5" t="n">
        <f aca="false">-C8</f>
        <v>-3617</v>
      </c>
      <c r="E14" s="0" t="s">
        <v>26</v>
      </c>
      <c r="F14" s="3" t="s">
        <v>27</v>
      </c>
      <c r="G14" s="2" t="str">
        <f aca="false">IF(G$7="",".",MID(IF($C14&gt;0,_xlfn.BASE($C14,2,16),_xlfn.BASE($C14+2^16,2,16)),ABS(G$7-16),1))</f>
        <v>1</v>
      </c>
      <c r="H14" s="2" t="str">
        <f aca="false">IF(H$7="",".",MID(IF($C14&gt;0,_xlfn.BASE($C14,2,16),_xlfn.BASE($C14+2^16,2,16)),ABS(H$7-16),1))</f>
        <v>1</v>
      </c>
      <c r="I14" s="2" t="str">
        <f aca="false">IF(I$7="",".",MID(IF($C14&gt;0,_xlfn.BASE($C14,2,16),_xlfn.BASE($C14+2^16,2,16)),ABS(I$7-16),1))</f>
        <v>1</v>
      </c>
      <c r="J14" s="2" t="str">
        <f aca="false">IF(J$7="",".",MID(IF($C14&gt;0,_xlfn.BASE($C14,2,16),_xlfn.BASE($C14+2^16,2,16)),ABS(J$7-16),1))</f>
        <v>1</v>
      </c>
      <c r="K14" s="2" t="str">
        <f aca="false">IF(K$7="",".",MID(IF($C14&gt;0,_xlfn.BASE($C14,2,16),_xlfn.BASE($C14+2^16,2,16)),ABS(K$7-16),1))</f>
        <v>.</v>
      </c>
      <c r="L14" s="2" t="str">
        <f aca="false">IF(L$7="",".",MID(IF($C14&gt;0,_xlfn.BASE($C14,2,16),_xlfn.BASE($C14+2^16,2,16)),ABS(L$7-16),1))</f>
        <v>0</v>
      </c>
      <c r="M14" s="2" t="str">
        <f aca="false">IF(M$7="",".",MID(IF($C14&gt;0,_xlfn.BASE($C14,2,16),_xlfn.BASE($C14+2^16,2,16)),ABS(M$7-16),1))</f>
        <v>0</v>
      </c>
      <c r="N14" s="2" t="str">
        <f aca="false">IF(N$7="",".",MID(IF($C14&gt;0,_xlfn.BASE($C14,2,16),_xlfn.BASE($C14+2^16,2,16)),ABS(N$7-16),1))</f>
        <v>0</v>
      </c>
      <c r="O14" s="2" t="str">
        <f aca="false">IF(O$7="",".",MID(IF($C14&gt;0,_xlfn.BASE($C14,2,16),_xlfn.BASE($C14+2^16,2,16)),ABS(O$7-16),1))</f>
        <v>1</v>
      </c>
      <c r="P14" s="2" t="str">
        <f aca="false">IF(P$7="",".",MID(IF($C14&gt;0,_xlfn.BASE($C14,2,16),_xlfn.BASE($C14+2^16,2,16)),ABS(P$7-16),1))</f>
        <v>.</v>
      </c>
      <c r="Q14" s="2" t="str">
        <f aca="false">IF(Q$7="",".",MID(IF($C14&gt;0,_xlfn.BASE($C14,2,16),_xlfn.BASE($C14+2^16,2,16)),ABS(Q$7-16),1))</f>
        <v>1</v>
      </c>
      <c r="R14" s="2" t="str">
        <f aca="false">IF(R$7="",".",MID(IF($C14&gt;0,_xlfn.BASE($C14,2,16),_xlfn.BASE($C14+2^16,2,16)),ABS(R$7-16),1))</f>
        <v>1</v>
      </c>
      <c r="S14" s="2" t="str">
        <f aca="false">IF(S$7="",".",MID(IF($C14&gt;0,_xlfn.BASE($C14,2,16),_xlfn.BASE($C14+2^16,2,16)),ABS(S$7-16),1))</f>
        <v>0</v>
      </c>
      <c r="T14" s="2" t="str">
        <f aca="false">IF(T$7="",".",MID(IF($C14&gt;0,_xlfn.BASE($C14,2,16),_xlfn.BASE($C14+2^16,2,16)),ABS(T$7-16),1))</f>
        <v>1</v>
      </c>
      <c r="U14" s="2" t="str">
        <f aca="false">IF(U$7="",".",MID(IF($C14&gt;0,_xlfn.BASE($C14,2,16),_xlfn.BASE($C14+2^16,2,16)),ABS(U$7-16),1))</f>
        <v>.</v>
      </c>
      <c r="V14" s="2" t="str">
        <f aca="false">IF(V$7="",".",MID(IF($C14&gt;0,_xlfn.BASE($C14,2,16),_xlfn.BASE($C14+2^16,2,16)),ABS(V$7-16),1))</f>
        <v>1</v>
      </c>
      <c r="W14" s="2" t="str">
        <f aca="false">IF(W$7="",".",MID(IF($C14&gt;0,_xlfn.BASE($C14,2,16),_xlfn.BASE($C14+2^16,2,16)),ABS(W$7-16),1))</f>
        <v>1</v>
      </c>
      <c r="X14" s="2" t="str">
        <f aca="false">IF(X$7="",".",MID(IF($C14&gt;0,_xlfn.BASE($C14,2,16),_xlfn.BASE($C14+2^16,2,16)),ABS(X$7-16),1))</f>
        <v>1</v>
      </c>
      <c r="Y14" s="2" t="str">
        <f aca="false">IF(Y$7="",".",MID(IF($C14&gt;0,_xlfn.BASE($C14,2,16),_xlfn.BASE($C14+2^16,2,16)),ABS(Y$7-16),1))</f>
        <v>1</v>
      </c>
    </row>
    <row r="15" customFormat="false" ht="12.8" hidden="false" customHeight="false" outlineLevel="0" collapsed="false">
      <c r="A15" s="9" t="s">
        <v>28</v>
      </c>
      <c r="B15" s="3" t="s">
        <v>29</v>
      </c>
      <c r="C15" s="5" t="n">
        <f aca="false">-C9</f>
        <v>-28062</v>
      </c>
      <c r="E15" s="0" t="s">
        <v>30</v>
      </c>
      <c r="F15" s="3" t="s">
        <v>31</v>
      </c>
      <c r="G15" s="2" t="str">
        <f aca="false">IF(G$7="",".",MID(IF($C15&gt;0,_xlfn.BASE($C15,2,16),_xlfn.BASE($C15+2^16,2,16)),ABS(G$7-16),1))</f>
        <v>1</v>
      </c>
      <c r="H15" s="2" t="str">
        <f aca="false">IF(H$7="",".",MID(IF($C15&gt;0,_xlfn.BASE($C15,2,16),_xlfn.BASE($C15+2^16,2,16)),ABS(H$7-16),1))</f>
        <v>0</v>
      </c>
      <c r="I15" s="2" t="str">
        <f aca="false">IF(I$7="",".",MID(IF($C15&gt;0,_xlfn.BASE($C15,2,16),_xlfn.BASE($C15+2^16,2,16)),ABS(I$7-16),1))</f>
        <v>0</v>
      </c>
      <c r="J15" s="2" t="str">
        <f aca="false">IF(J$7="",".",MID(IF($C15&gt;0,_xlfn.BASE($C15,2,16),_xlfn.BASE($C15+2^16,2,16)),ABS(J$7-16),1))</f>
        <v>1</v>
      </c>
      <c r="K15" s="2" t="str">
        <f aca="false">IF(K$7="",".",MID(IF($C15&gt;0,_xlfn.BASE($C15,2,16),_xlfn.BASE($C15+2^16,2,16)),ABS(K$7-16),1))</f>
        <v>.</v>
      </c>
      <c r="L15" s="2" t="str">
        <f aca="false">IF(L$7="",".",MID(IF($C15&gt;0,_xlfn.BASE($C15,2,16),_xlfn.BASE($C15+2^16,2,16)),ABS(L$7-16),1))</f>
        <v>0</v>
      </c>
      <c r="M15" s="2" t="str">
        <f aca="false">IF(M$7="",".",MID(IF($C15&gt;0,_xlfn.BASE($C15,2,16),_xlfn.BASE($C15+2^16,2,16)),ABS(M$7-16),1))</f>
        <v>0</v>
      </c>
      <c r="N15" s="2" t="str">
        <f aca="false">IF(N$7="",".",MID(IF($C15&gt;0,_xlfn.BASE($C15,2,16),_xlfn.BASE($C15+2^16,2,16)),ABS(N$7-16),1))</f>
        <v>1</v>
      </c>
      <c r="O15" s="2" t="str">
        <f aca="false">IF(O$7="",".",MID(IF($C15&gt;0,_xlfn.BASE($C15,2,16),_xlfn.BASE($C15+2^16,2,16)),ABS(O$7-16),1))</f>
        <v>0</v>
      </c>
      <c r="P15" s="2" t="str">
        <f aca="false">IF(P$7="",".",MID(IF($C15&gt;0,_xlfn.BASE($C15,2,16),_xlfn.BASE($C15+2^16,2,16)),ABS(P$7-16),1))</f>
        <v>.</v>
      </c>
      <c r="Q15" s="2" t="str">
        <f aca="false">IF(Q$7="",".",MID(IF($C15&gt;0,_xlfn.BASE($C15,2,16),_xlfn.BASE($C15+2^16,2,16)),ABS(Q$7-16),1))</f>
        <v>0</v>
      </c>
      <c r="R15" s="2" t="str">
        <f aca="false">IF(R$7="",".",MID(IF($C15&gt;0,_xlfn.BASE($C15,2,16),_xlfn.BASE($C15+2^16,2,16)),ABS(R$7-16),1))</f>
        <v>1</v>
      </c>
      <c r="S15" s="2" t="str">
        <f aca="false">IF(S$7="",".",MID(IF($C15&gt;0,_xlfn.BASE($C15,2,16),_xlfn.BASE($C15+2^16,2,16)),ABS(S$7-16),1))</f>
        <v>1</v>
      </c>
      <c r="T15" s="2" t="str">
        <f aca="false">IF(T$7="",".",MID(IF($C15&gt;0,_xlfn.BASE($C15,2,16),_xlfn.BASE($C15+2^16,2,16)),ABS(T$7-16),1))</f>
        <v>0</v>
      </c>
      <c r="U15" s="2" t="str">
        <f aca="false">IF(U$7="",".",MID(IF($C15&gt;0,_xlfn.BASE($C15,2,16),_xlfn.BASE($C15+2^16,2,16)),ABS(U$7-16),1))</f>
        <v>.</v>
      </c>
      <c r="V15" s="2" t="str">
        <f aca="false">IF(V$7="",".",MID(IF($C15&gt;0,_xlfn.BASE($C15,2,16),_xlfn.BASE($C15+2^16,2,16)),ABS(V$7-16),1))</f>
        <v>0</v>
      </c>
      <c r="W15" s="2" t="str">
        <f aca="false">IF(W$7="",".",MID(IF($C15&gt;0,_xlfn.BASE($C15,2,16),_xlfn.BASE($C15+2^16,2,16)),ABS(W$7-16),1))</f>
        <v>0</v>
      </c>
      <c r="X15" s="2" t="str">
        <f aca="false">IF(X$7="",".",MID(IF($C15&gt;0,_xlfn.BASE($C15,2,16),_xlfn.BASE($C15+2^16,2,16)),ABS(X$7-16),1))</f>
        <v>1</v>
      </c>
      <c r="Y15" s="2" t="str">
        <f aca="false">IF(Y$7="",".",MID(IF($C15&gt;0,_xlfn.BASE($C15,2,16),_xlfn.BASE($C15+2^16,2,16)),ABS(Y$7-16),1))</f>
        <v>0</v>
      </c>
    </row>
    <row r="16" customFormat="false" ht="12.8" hidden="false" customHeight="false" outlineLevel="0" collapsed="false">
      <c r="A16" s="9" t="s">
        <v>32</v>
      </c>
      <c r="B16" s="3" t="s">
        <v>33</v>
      </c>
      <c r="C16" s="5" t="n">
        <f aca="false">-C10</f>
        <v>-31679</v>
      </c>
      <c r="E16" s="0" t="s">
        <v>34</v>
      </c>
      <c r="F16" s="3" t="s">
        <v>35</v>
      </c>
      <c r="G16" s="2" t="str">
        <f aca="false">IF(G$7="",".",MID(IF($C16&gt;0,_xlfn.BASE($C16,2,16),_xlfn.BASE($C16+2^16,2,16)),ABS(G$7-16),1))</f>
        <v>1</v>
      </c>
      <c r="H16" s="2" t="str">
        <f aca="false">IF(H$7="",".",MID(IF($C16&gt;0,_xlfn.BASE($C16,2,16),_xlfn.BASE($C16+2^16,2,16)),ABS(H$7-16),1))</f>
        <v>0</v>
      </c>
      <c r="I16" s="2" t="str">
        <f aca="false">IF(I$7="",".",MID(IF($C16&gt;0,_xlfn.BASE($C16,2,16),_xlfn.BASE($C16+2^16,2,16)),ABS(I$7-16),1))</f>
        <v>0</v>
      </c>
      <c r="J16" s="2" t="str">
        <f aca="false">IF(J$7="",".",MID(IF($C16&gt;0,_xlfn.BASE($C16,2,16),_xlfn.BASE($C16+2^16,2,16)),ABS(J$7-16),1))</f>
        <v>0</v>
      </c>
      <c r="K16" s="2" t="str">
        <f aca="false">IF(K$7="",".",MID(IF($C16&gt;0,_xlfn.BASE($C16,2,16),_xlfn.BASE($C16+2^16,2,16)),ABS(K$7-16),1))</f>
        <v>.</v>
      </c>
      <c r="L16" s="2" t="str">
        <f aca="false">IF(L$7="",".",MID(IF($C16&gt;0,_xlfn.BASE($C16,2,16),_xlfn.BASE($C16+2^16,2,16)),ABS(L$7-16),1))</f>
        <v>0</v>
      </c>
      <c r="M16" s="2" t="str">
        <f aca="false">IF(M$7="",".",MID(IF($C16&gt;0,_xlfn.BASE($C16,2,16),_xlfn.BASE($C16+2^16,2,16)),ABS(M$7-16),1))</f>
        <v>1</v>
      </c>
      <c r="N16" s="2" t="str">
        <f aca="false">IF(N$7="",".",MID(IF($C16&gt;0,_xlfn.BASE($C16,2,16),_xlfn.BASE($C16+2^16,2,16)),ABS(N$7-16),1))</f>
        <v>0</v>
      </c>
      <c r="O16" s="2" t="str">
        <f aca="false">IF(O$7="",".",MID(IF($C16&gt;0,_xlfn.BASE($C16,2,16),_xlfn.BASE($C16+2^16,2,16)),ABS(O$7-16),1))</f>
        <v>0</v>
      </c>
      <c r="P16" s="2" t="str">
        <f aca="false">IF(P$7="",".",MID(IF($C16&gt;0,_xlfn.BASE($C16,2,16),_xlfn.BASE($C16+2^16,2,16)),ABS(P$7-16),1))</f>
        <v>.</v>
      </c>
      <c r="Q16" s="2" t="str">
        <f aca="false">IF(Q$7="",".",MID(IF($C16&gt;0,_xlfn.BASE($C16,2,16),_xlfn.BASE($C16+2^16,2,16)),ABS(Q$7-16),1))</f>
        <v>0</v>
      </c>
      <c r="R16" s="2" t="str">
        <f aca="false">IF(R$7="",".",MID(IF($C16&gt;0,_xlfn.BASE($C16,2,16),_xlfn.BASE($C16+2^16,2,16)),ABS(R$7-16),1))</f>
        <v>1</v>
      </c>
      <c r="S16" s="2" t="str">
        <f aca="false">IF(S$7="",".",MID(IF($C16&gt;0,_xlfn.BASE($C16,2,16),_xlfn.BASE($C16+2^16,2,16)),ABS(S$7-16),1))</f>
        <v>0</v>
      </c>
      <c r="T16" s="2" t="str">
        <f aca="false">IF(T$7="",".",MID(IF($C16&gt;0,_xlfn.BASE($C16,2,16),_xlfn.BASE($C16+2^16,2,16)),ABS(T$7-16),1))</f>
        <v>0</v>
      </c>
      <c r="U16" s="2" t="str">
        <f aca="false">IF(U$7="",".",MID(IF($C16&gt;0,_xlfn.BASE($C16,2,16),_xlfn.BASE($C16+2^16,2,16)),ABS(U$7-16),1))</f>
        <v>.</v>
      </c>
      <c r="V16" s="2" t="str">
        <f aca="false">IF(V$7="",".",MID(IF($C16&gt;0,_xlfn.BASE($C16,2,16),_xlfn.BASE($C16+2^16,2,16)),ABS(V$7-16),1))</f>
        <v>0</v>
      </c>
      <c r="W16" s="2" t="str">
        <f aca="false">IF(W$7="",".",MID(IF($C16&gt;0,_xlfn.BASE($C16,2,16),_xlfn.BASE($C16+2^16,2,16)),ABS(W$7-16),1))</f>
        <v>0</v>
      </c>
      <c r="X16" s="2" t="str">
        <f aca="false">IF(X$7="",".",MID(IF($C16&gt;0,_xlfn.BASE($C16,2,16),_xlfn.BASE($C16+2^16,2,16)),ABS(X$7-16),1))</f>
        <v>0</v>
      </c>
      <c r="Y16" s="2" t="str">
        <f aca="false">IF(Y$7="",".",MID(IF($C16&gt;0,_xlfn.BASE($C16,2,16),_xlfn.BASE($C16+2^16,2,16)),ABS(Y$7-16),1))</f>
        <v>1</v>
      </c>
    </row>
    <row r="17" customFormat="false" ht="12.8" hidden="false" customHeight="false" outlineLevel="0" collapsed="false">
      <c r="A17" s="9" t="s">
        <v>36</v>
      </c>
      <c r="B17" s="3" t="s">
        <v>37</v>
      </c>
      <c r="C17" s="5" t="n">
        <f aca="false">-C11</f>
        <v>-59741</v>
      </c>
      <c r="E17" s="0" t="s">
        <v>38</v>
      </c>
      <c r="F17" s="3" t="s">
        <v>39</v>
      </c>
      <c r="G17" s="2" t="str">
        <f aca="false">IF(G$7="",".",MID(IF($C17&gt;0,_xlfn.BASE($C17,2,16),_xlfn.BASE($C17+2^16,2,16)),ABS(G$7-16),1))</f>
        <v>0</v>
      </c>
      <c r="H17" s="2" t="str">
        <f aca="false">IF(H$7="",".",MID(IF($C17&gt;0,_xlfn.BASE($C17,2,16),_xlfn.BASE($C17+2^16,2,16)),ABS(H$7-16),1))</f>
        <v>0</v>
      </c>
      <c r="I17" s="2" t="str">
        <f aca="false">IF(I$7="",".",MID(IF($C17&gt;0,_xlfn.BASE($C17,2,16),_xlfn.BASE($C17+2^16,2,16)),ABS(I$7-16),1))</f>
        <v>0</v>
      </c>
      <c r="J17" s="2" t="str">
        <f aca="false">IF(J$7="",".",MID(IF($C17&gt;0,_xlfn.BASE($C17,2,16),_xlfn.BASE($C17+2^16,2,16)),ABS(J$7-16),1))</f>
        <v>1</v>
      </c>
      <c r="K17" s="2" t="str">
        <f aca="false">IF(K$7="",".",MID(IF($C17&gt;0,_xlfn.BASE($C17,2,16),_xlfn.BASE($C17+2^16,2,16)),ABS(K$7-16),1))</f>
        <v>.</v>
      </c>
      <c r="L17" s="2" t="str">
        <f aca="false">IF(L$7="",".",MID(IF($C17&gt;0,_xlfn.BASE($C17,2,16),_xlfn.BASE($C17+2^16,2,16)),ABS(L$7-16),1))</f>
        <v>0</v>
      </c>
      <c r="M17" s="2" t="str">
        <f aca="false">IF(M$7="",".",MID(IF($C17&gt;0,_xlfn.BASE($C17,2,16),_xlfn.BASE($C17+2^16,2,16)),ABS(M$7-16),1))</f>
        <v>1</v>
      </c>
      <c r="N17" s="2" t="str">
        <f aca="false">IF(N$7="",".",MID(IF($C17&gt;0,_xlfn.BASE($C17,2,16),_xlfn.BASE($C17+2^16,2,16)),ABS(N$7-16),1))</f>
        <v>1</v>
      </c>
      <c r="O17" s="2" t="str">
        <f aca="false">IF(O$7="",".",MID(IF($C17&gt;0,_xlfn.BASE($C17,2,16),_xlfn.BASE($C17+2^16,2,16)),ABS(O$7-16),1))</f>
        <v>0</v>
      </c>
      <c r="P17" s="2" t="str">
        <f aca="false">IF(P$7="",".",MID(IF($C17&gt;0,_xlfn.BASE($C17,2,16),_xlfn.BASE($C17+2^16,2,16)),ABS(P$7-16),1))</f>
        <v>.</v>
      </c>
      <c r="Q17" s="2" t="str">
        <f aca="false">IF(Q$7="",".",MID(IF($C17&gt;0,_xlfn.BASE($C17,2,16),_xlfn.BASE($C17+2^16,2,16)),ABS(Q$7-16),1))</f>
        <v>1</v>
      </c>
      <c r="R17" s="2" t="str">
        <f aca="false">IF(R$7="",".",MID(IF($C17&gt;0,_xlfn.BASE($C17,2,16),_xlfn.BASE($C17+2^16,2,16)),ABS(R$7-16),1))</f>
        <v>0</v>
      </c>
      <c r="S17" s="2" t="str">
        <f aca="false">IF(S$7="",".",MID(IF($C17&gt;0,_xlfn.BASE($C17,2,16),_xlfn.BASE($C17+2^16,2,16)),ABS(S$7-16),1))</f>
        <v>1</v>
      </c>
      <c r="T17" s="2" t="str">
        <f aca="false">IF(T$7="",".",MID(IF($C17&gt;0,_xlfn.BASE($C17,2,16),_xlfn.BASE($C17+2^16,2,16)),ABS(T$7-16),1))</f>
        <v>0</v>
      </c>
      <c r="U17" s="2" t="str">
        <f aca="false">IF(U$7="",".",MID(IF($C17&gt;0,_xlfn.BASE($C17,2,16),_xlfn.BASE($C17+2^16,2,16)),ABS(U$7-16),1))</f>
        <v>.</v>
      </c>
      <c r="V17" s="2" t="str">
        <f aca="false">IF(V$7="",".",MID(IF($C17&gt;0,_xlfn.BASE($C17,2,16),_xlfn.BASE($C17+2^16,2,16)),ABS(V$7-16),1))</f>
        <v>0</v>
      </c>
      <c r="W17" s="2" t="str">
        <f aca="false">IF(W$7="",".",MID(IF($C17&gt;0,_xlfn.BASE($C17,2,16),_xlfn.BASE($C17+2^16,2,16)),ABS(W$7-16),1))</f>
        <v>0</v>
      </c>
      <c r="X17" s="2" t="str">
        <f aca="false">IF(X$7="",".",MID(IF($C17&gt;0,_xlfn.BASE($C17,2,16),_xlfn.BASE($C17+2^16,2,16)),ABS(X$7-16),1))</f>
        <v>1</v>
      </c>
      <c r="Y17" s="2" t="str">
        <f aca="false">IF(Y$7="",".",MID(IF($C17&gt;0,_xlfn.BASE($C17,2,16),_xlfn.BASE($C17+2^16,2,16)),ABS(Y$7-16),1))</f>
        <v>1</v>
      </c>
    </row>
    <row r="18" customFormat="false" ht="12.8" hidden="false" customHeight="false" outlineLevel="0" collapsed="false">
      <c r="A18" s="9" t="s">
        <v>40</v>
      </c>
      <c r="B18" s="3" t="s">
        <v>41</v>
      </c>
      <c r="C18" s="5" t="n">
        <f aca="false">-C12</f>
        <v>-24445</v>
      </c>
      <c r="E18" s="0" t="s">
        <v>42</v>
      </c>
      <c r="F18" s="3" t="s">
        <v>43</v>
      </c>
      <c r="G18" s="2" t="str">
        <f aca="false">IF(G$7="",".",MID(IF($C18&gt;0,_xlfn.BASE($C18,2,16),_xlfn.BASE($C18+2^16,2,16)),ABS(G$7-16),1))</f>
        <v>1</v>
      </c>
      <c r="H18" s="2" t="str">
        <f aca="false">IF(H$7="",".",MID(IF($C18&gt;0,_xlfn.BASE($C18,2,16),_xlfn.BASE($C18+2^16,2,16)),ABS(H$7-16),1))</f>
        <v>0</v>
      </c>
      <c r="I18" s="2" t="str">
        <f aca="false">IF(I$7="",".",MID(IF($C18&gt;0,_xlfn.BASE($C18,2,16),_xlfn.BASE($C18+2^16,2,16)),ABS(I$7-16),1))</f>
        <v>1</v>
      </c>
      <c r="J18" s="2" t="str">
        <f aca="false">IF(J$7="",".",MID(IF($C18&gt;0,_xlfn.BASE($C18,2,16),_xlfn.BASE($C18+2^16,2,16)),ABS(J$7-16),1))</f>
        <v>0</v>
      </c>
      <c r="K18" s="2" t="str">
        <f aca="false">IF(K$7="",".",MID(IF($C18&gt;0,_xlfn.BASE($C18,2,16),_xlfn.BASE($C18+2^16,2,16)),ABS(K$7-16),1))</f>
        <v>.</v>
      </c>
      <c r="L18" s="2" t="str">
        <f aca="false">IF(L$7="",".",MID(IF($C18&gt;0,_xlfn.BASE($C18,2,16),_xlfn.BASE($C18+2^16,2,16)),ABS(L$7-16),1))</f>
        <v>0</v>
      </c>
      <c r="M18" s="2" t="str">
        <f aca="false">IF(M$7="",".",MID(IF($C18&gt;0,_xlfn.BASE($C18,2,16),_xlfn.BASE($C18+2^16,2,16)),ABS(M$7-16),1))</f>
        <v>0</v>
      </c>
      <c r="N18" s="2" t="str">
        <f aca="false">IF(N$7="",".",MID(IF($C18&gt;0,_xlfn.BASE($C18,2,16),_xlfn.BASE($C18+2^16,2,16)),ABS(N$7-16),1))</f>
        <v>0</v>
      </c>
      <c r="O18" s="2" t="str">
        <f aca="false">IF(O$7="",".",MID(IF($C18&gt;0,_xlfn.BASE($C18,2,16),_xlfn.BASE($C18+2^16,2,16)),ABS(O$7-16),1))</f>
        <v>0</v>
      </c>
      <c r="P18" s="2" t="str">
        <f aca="false">IF(P$7="",".",MID(IF($C18&gt;0,_xlfn.BASE($C18,2,16),_xlfn.BASE($C18+2^16,2,16)),ABS(P$7-16),1))</f>
        <v>.</v>
      </c>
      <c r="Q18" s="2" t="str">
        <f aca="false">IF(Q$7="",".",MID(IF($C18&gt;0,_xlfn.BASE($C18,2,16),_xlfn.BASE($C18+2^16,2,16)),ABS(Q$7-16),1))</f>
        <v>1</v>
      </c>
      <c r="R18" s="2" t="str">
        <f aca="false">IF(R$7="",".",MID(IF($C18&gt;0,_xlfn.BASE($C18,2,16),_xlfn.BASE($C18+2^16,2,16)),ABS(R$7-16),1))</f>
        <v>0</v>
      </c>
      <c r="S18" s="2" t="str">
        <f aca="false">IF(S$7="",".",MID(IF($C18&gt;0,_xlfn.BASE($C18,2,16),_xlfn.BASE($C18+2^16,2,16)),ABS(S$7-16),1))</f>
        <v>0</v>
      </c>
      <c r="T18" s="2" t="str">
        <f aca="false">IF(T$7="",".",MID(IF($C18&gt;0,_xlfn.BASE($C18,2,16),_xlfn.BASE($C18+2^16,2,16)),ABS(T$7-16),1))</f>
        <v>0</v>
      </c>
      <c r="U18" s="2" t="str">
        <f aca="false">IF(U$7="",".",MID(IF($C18&gt;0,_xlfn.BASE($C18,2,16),_xlfn.BASE($C18+2^16,2,16)),ABS(U$7-16),1))</f>
        <v>.</v>
      </c>
      <c r="V18" s="2" t="str">
        <f aca="false">IF(V$7="",".",MID(IF($C18&gt;0,_xlfn.BASE($C18,2,16),_xlfn.BASE($C18+2^16,2,16)),ABS(V$7-16),1))</f>
        <v>0</v>
      </c>
      <c r="W18" s="2" t="str">
        <f aca="false">IF(W$7="",".",MID(IF($C18&gt;0,_xlfn.BASE($C18,2,16),_xlfn.BASE($C18+2^16,2,16)),ABS(W$7-16),1))</f>
        <v>0</v>
      </c>
      <c r="X18" s="2" t="str">
        <f aca="false">IF(X$7="",".",MID(IF($C18&gt;0,_xlfn.BASE($C18,2,16),_xlfn.BASE($C18+2^16,2,16)),ABS(X$7-16),1))</f>
        <v>1</v>
      </c>
      <c r="Y18" s="2" t="str">
        <f aca="false">IF(Y$7="",".",MID(IF($C18&gt;0,_xlfn.BASE($C18,2,16),_xlfn.BASE($C18+2^16,2,16)),ABS(Y$7-16),1))</f>
        <v>1</v>
      </c>
    </row>
    <row r="19" customFormat="false" ht="12.8" hidden="false" customHeight="false" outlineLevel="0" collapsed="false">
      <c r="A19" s="9" t="s">
        <v>44</v>
      </c>
      <c r="B19" s="3" t="s">
        <v>45</v>
      </c>
      <c r="C19" s="5" t="n">
        <f aca="false">-C13</f>
        <v>-5795</v>
      </c>
      <c r="E19" s="0" t="s">
        <v>46</v>
      </c>
      <c r="F19" s="3" t="s">
        <v>47</v>
      </c>
      <c r="G19" s="2" t="str">
        <f aca="false">IF(G$7="",".",MID(IF($C19&gt;0,_xlfn.BASE($C19,2,16),_xlfn.BASE($C19+2^16,2,16)),ABS(G$7-16),1))</f>
        <v>1</v>
      </c>
      <c r="H19" s="2" t="str">
        <f aca="false">IF(H$7="",".",MID(IF($C19&gt;0,_xlfn.BASE($C19,2,16),_xlfn.BASE($C19+2^16,2,16)),ABS(H$7-16),1))</f>
        <v>1</v>
      </c>
      <c r="I19" s="2" t="str">
        <f aca="false">IF(I$7="",".",MID(IF($C19&gt;0,_xlfn.BASE($C19,2,16),_xlfn.BASE($C19+2^16,2,16)),ABS(I$7-16),1))</f>
        <v>1</v>
      </c>
      <c r="J19" s="2" t="str">
        <f aca="false">IF(J$7="",".",MID(IF($C19&gt;0,_xlfn.BASE($C19,2,16),_xlfn.BASE($C19+2^16,2,16)),ABS(J$7-16),1))</f>
        <v>0</v>
      </c>
      <c r="K19" s="2" t="str">
        <f aca="false">IF(K$7="",".",MID(IF($C19&gt;0,_xlfn.BASE($C19,2,16),_xlfn.BASE($C19+2^16,2,16)),ABS(K$7-16),1))</f>
        <v>.</v>
      </c>
      <c r="L19" s="2" t="str">
        <f aca="false">IF(L$7="",".",MID(IF($C19&gt;0,_xlfn.BASE($C19,2,16),_xlfn.BASE($C19+2^16,2,16)),ABS(L$7-16),1))</f>
        <v>1</v>
      </c>
      <c r="M19" s="2" t="str">
        <f aca="false">IF(M$7="",".",MID(IF($C19&gt;0,_xlfn.BASE($C19,2,16),_xlfn.BASE($C19+2^16,2,16)),ABS(M$7-16),1))</f>
        <v>0</v>
      </c>
      <c r="N19" s="2" t="str">
        <f aca="false">IF(N$7="",".",MID(IF($C19&gt;0,_xlfn.BASE($C19,2,16),_xlfn.BASE($C19+2^16,2,16)),ABS(N$7-16),1))</f>
        <v>0</v>
      </c>
      <c r="O19" s="2" t="str">
        <f aca="false">IF(O$7="",".",MID(IF($C19&gt;0,_xlfn.BASE($C19,2,16),_xlfn.BASE($C19+2^16,2,16)),ABS(O$7-16),1))</f>
        <v>1</v>
      </c>
      <c r="P19" s="2" t="str">
        <f aca="false">IF(P$7="",".",MID(IF($C19&gt;0,_xlfn.BASE($C19,2,16),_xlfn.BASE($C19+2^16,2,16)),ABS(P$7-16),1))</f>
        <v>.</v>
      </c>
      <c r="Q19" s="2" t="str">
        <f aca="false">IF(Q$7="",".",MID(IF($C19&gt;0,_xlfn.BASE($C19,2,16),_xlfn.BASE($C19+2^16,2,16)),ABS(Q$7-16),1))</f>
        <v>0</v>
      </c>
      <c r="R19" s="2" t="str">
        <f aca="false">IF(R$7="",".",MID(IF($C19&gt;0,_xlfn.BASE($C19,2,16),_xlfn.BASE($C19+2^16,2,16)),ABS(R$7-16),1))</f>
        <v>1</v>
      </c>
      <c r="S19" s="2" t="str">
        <f aca="false">IF(S$7="",".",MID(IF($C19&gt;0,_xlfn.BASE($C19,2,16),_xlfn.BASE($C19+2^16,2,16)),ABS(S$7-16),1))</f>
        <v>0</v>
      </c>
      <c r="T19" s="2" t="str">
        <f aca="false">IF(T$7="",".",MID(IF($C19&gt;0,_xlfn.BASE($C19,2,16),_xlfn.BASE($C19+2^16,2,16)),ABS(T$7-16),1))</f>
        <v>1</v>
      </c>
      <c r="U19" s="2" t="str">
        <f aca="false">IF(U$7="",".",MID(IF($C19&gt;0,_xlfn.BASE($C19,2,16),_xlfn.BASE($C19+2^16,2,16)),ABS(U$7-16),1))</f>
        <v>.</v>
      </c>
      <c r="V19" s="2" t="str">
        <f aca="false">IF(V$7="",".",MID(IF($C19&gt;0,_xlfn.BASE($C19,2,16),_xlfn.BASE($C19+2^16,2,16)),ABS(V$7-16),1))</f>
        <v>1</v>
      </c>
      <c r="W19" s="2" t="str">
        <f aca="false">IF(W$7="",".",MID(IF($C19&gt;0,_xlfn.BASE($C19,2,16),_xlfn.BASE($C19+2^16,2,16)),ABS(W$7-16),1))</f>
        <v>1</v>
      </c>
      <c r="X19" s="2" t="str">
        <f aca="false">IF(X$7="",".",MID(IF($C19&gt;0,_xlfn.BASE($C19,2,16),_xlfn.BASE($C19+2^16,2,16)),ABS(X$7-16),1))</f>
        <v>0</v>
      </c>
      <c r="Y19" s="2" t="str">
        <f aca="false">IF(Y$7="",".",MID(IF($C19&gt;0,_xlfn.BASE($C19,2,16),_xlfn.BASE($C19+2^16,2,16)),ABS(Y$7-16),1))</f>
        <v>1</v>
      </c>
    </row>
    <row r="20" customFormat="false" ht="12.8" hidden="false" customHeight="false" outlineLevel="0" collapsed="false">
      <c r="C20" s="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2.8" hidden="false" customHeight="false" outlineLevel="0" collapsed="false">
      <c r="C21" s="0"/>
      <c r="G21" s="10" t="n">
        <f aca="false">IF(G22&lt;&gt;".",IF(G22+G23&lt;&gt;0,IF(G22+G23+H21=3,1,MOD(G22+G23+H21-1,2)),0),H21)</f>
        <v>0</v>
      </c>
      <c r="H21" s="10" t="n">
        <f aca="false">IF(H22&lt;&gt;".",IF(H22+H23&lt;&gt;0,IF(H22+H23+I21=3,1,MOD(H22+H23+I21-1,2)),0),I21)</f>
        <v>0</v>
      </c>
      <c r="I21" s="10" t="n">
        <f aca="false">IF(I22&lt;&gt;".",IF(I22+I23&lt;&gt;0,IF(I22+I23+J21=3,1,MOD(I22+I23+J21-1,2)),0),J21)</f>
        <v>0</v>
      </c>
      <c r="J21" s="10" t="n">
        <f aca="false">IF(J22&lt;&gt;".",IF(J22+J23&lt;&gt;0,IF(J22+J23+K21=3,1,MOD(J22+J23+K21-1,2)),0),K21)</f>
        <v>0</v>
      </c>
      <c r="K21" s="10" t="n">
        <f aca="false">IF(K22&lt;&gt;".",IF(K22+K23&lt;&gt;0,IF(K22+K23+L21=3,1,MOD(K22+K23+L21-1,2)),0),L21)</f>
        <v>1</v>
      </c>
      <c r="L21" s="10" t="n">
        <f aca="false">IF(L22&lt;&gt;".",IF(L22+L23&lt;&gt;0,IF(L22+L23+M21=3,1,MOD(L22+L23+M21-1,2)),0),M21)</f>
        <v>1</v>
      </c>
      <c r="M21" s="10" t="n">
        <f aca="false">IF(M22&lt;&gt;".",IF(M22+M23&lt;&gt;0,IF(M22+M23+N21=3,1,MOD(M22+M23+N21-1,2)),0),N21)</f>
        <v>1</v>
      </c>
      <c r="N21" s="10" t="n">
        <f aca="false">IF(N22&lt;&gt;".",IF(N22+N23&lt;&gt;0,IF(N22+N23+O21=3,1,MOD(N22+N23+O21-1,2)),0),O21)</f>
        <v>0</v>
      </c>
      <c r="O21" s="10" t="n">
        <f aca="false">IF(O22&lt;&gt;".",IF(O22+O23&lt;&gt;0,IF(O22+O23+P21=3,1,MOD(O22+O23+P21-1,2)),0),P21)</f>
        <v>0</v>
      </c>
      <c r="P21" s="10" t="n">
        <f aca="false">IF(P22&lt;&gt;".",IF(P22+P23&lt;&gt;0,IF(P22+P23+Q21=3,1,MOD(P22+P23+Q21-1,2)),0),Q21)</f>
        <v>0</v>
      </c>
      <c r="Q21" s="10" t="n">
        <f aca="false">IF(Q22&lt;&gt;".",IF(Q22+Q23&lt;&gt;0,IF(Q22+Q23+R21=3,1,MOD(Q22+Q23+R21-1,2)),0),R21)</f>
        <v>0</v>
      </c>
      <c r="R21" s="10" t="n">
        <f aca="false">IF(R22&lt;&gt;".",IF(R22+R23&lt;&gt;0,IF(R22+R23+S21=3,1,MOD(R22+R23+S21-1,2)),0),S21)</f>
        <v>0</v>
      </c>
      <c r="S21" s="10" t="n">
        <f aca="false">IF(S22&lt;&gt;".",IF(S22+S23&lt;&gt;0,IF(S22+S23+T21=3,1,MOD(S22+S23+T21-1,2)),0),T21)</f>
        <v>0</v>
      </c>
      <c r="T21" s="10" t="n">
        <f aca="false">IF(T22&lt;&gt;".",IF(T22+T23&lt;&gt;0,IF(T22+T23+U21=3,1,MOD(T22+T23+U21-1,2)),0),U21)</f>
        <v>0</v>
      </c>
      <c r="U21" s="10" t="n">
        <f aca="false">IF(U22&lt;&gt;".",IF(U22+U23&lt;&gt;0,IF(U22+U23+V21=3,1,MOD(U22+U23+V21-1,2)),0),V21)</f>
        <v>0</v>
      </c>
      <c r="V21" s="10" t="n">
        <f aca="false">IF(V22&lt;&gt;".",IF(V22+V23&lt;&gt;0,IF(V22+V23+W21=3,1,MOD(V22+V23+W21-1,2)),0),W21)</f>
        <v>0</v>
      </c>
      <c r="W21" s="10" t="n">
        <f aca="false">IF(W22&lt;&gt;".",IF(W22+W23&lt;&gt;0,IF(W22+W23+X21=3,1,MOD(W22+W23+X21-1,2)),0),X21)</f>
        <v>0</v>
      </c>
      <c r="X21" s="10" t="n">
        <f aca="false">IF(X22&lt;&gt;".",IF(X22+X23&lt;&gt;0,IF(X22+X23+Y21=3,1,MOD(X22+X23+Y21-1,2)),0),Y21)</f>
        <v>0</v>
      </c>
      <c r="Y21" s="10" t="n">
        <f aca="false">IF(Y22&lt;&gt;".",IF(Y22+Y23&lt;&gt;0,IF(Y22+Y23+Z21=3,1,MOD(Y22+Y23+Z21-1,2)),0),Z21)</f>
        <v>0</v>
      </c>
    </row>
    <row r="22" customFormat="false" ht="12.8" hidden="false" customHeight="false" outlineLevel="0" collapsed="false">
      <c r="C22" s="0"/>
      <c r="F22" s="0" t="s">
        <v>48</v>
      </c>
      <c r="G22" s="2" t="str">
        <f aca="false">G8</f>
        <v>0</v>
      </c>
      <c r="H22" s="2" t="str">
        <f aca="false">H8</f>
        <v>0</v>
      </c>
      <c r="I22" s="2" t="str">
        <f aca="false">I8</f>
        <v>0</v>
      </c>
      <c r="J22" s="2" t="str">
        <f aca="false">J8</f>
        <v>0</v>
      </c>
      <c r="K22" s="2" t="str">
        <f aca="false">K8</f>
        <v>.</v>
      </c>
      <c r="L22" s="2" t="str">
        <f aca="false">L8</f>
        <v>1</v>
      </c>
      <c r="M22" s="2" t="str">
        <f aca="false">M8</f>
        <v>1</v>
      </c>
      <c r="N22" s="2" t="str">
        <f aca="false">N8</f>
        <v>1</v>
      </c>
      <c r="O22" s="2" t="str">
        <f aca="false">O8</f>
        <v>0</v>
      </c>
      <c r="P22" s="2" t="str">
        <f aca="false">P8</f>
        <v>.</v>
      </c>
      <c r="Q22" s="2" t="str">
        <f aca="false">Q8</f>
        <v>0</v>
      </c>
      <c r="R22" s="2" t="str">
        <f aca="false">R8</f>
        <v>0</v>
      </c>
      <c r="S22" s="2" t="str">
        <f aca="false">S8</f>
        <v>1</v>
      </c>
      <c r="T22" s="2" t="str">
        <f aca="false">T8</f>
        <v>0</v>
      </c>
      <c r="U22" s="2" t="str">
        <f aca="false">U8</f>
        <v>.</v>
      </c>
      <c r="V22" s="2" t="str">
        <f aca="false">V8</f>
        <v>0</v>
      </c>
      <c r="W22" s="2" t="str">
        <f aca="false">W8</f>
        <v>0</v>
      </c>
      <c r="X22" s="2" t="str">
        <f aca="false">X8</f>
        <v>0</v>
      </c>
      <c r="Y22" s="2" t="str">
        <f aca="false">Y8</f>
        <v>1</v>
      </c>
      <c r="AC22" s="0" t="s">
        <v>49</v>
      </c>
      <c r="AD22" s="5" t="n">
        <f aca="false">C8</f>
        <v>3617</v>
      </c>
    </row>
    <row r="23" customFormat="false" ht="12.8" hidden="false" customHeight="false" outlineLevel="0" collapsed="false">
      <c r="C23" s="0"/>
      <c r="E23" s="3" t="s">
        <v>50</v>
      </c>
      <c r="F23" s="0" t="s">
        <v>51</v>
      </c>
      <c r="G23" s="2" t="str">
        <f aca="false">G9</f>
        <v>0</v>
      </c>
      <c r="H23" s="2" t="str">
        <f aca="false">H9</f>
        <v>1</v>
      </c>
      <c r="I23" s="2" t="str">
        <f aca="false">I9</f>
        <v>1</v>
      </c>
      <c r="J23" s="2" t="str">
        <f aca="false">J9</f>
        <v>0</v>
      </c>
      <c r="K23" s="2" t="str">
        <f aca="false">K9</f>
        <v>.</v>
      </c>
      <c r="L23" s="2" t="str">
        <f aca="false">L9</f>
        <v>1</v>
      </c>
      <c r="M23" s="2" t="str">
        <f aca="false">M9</f>
        <v>1</v>
      </c>
      <c r="N23" s="2" t="str">
        <f aca="false">N9</f>
        <v>0</v>
      </c>
      <c r="O23" s="2" t="str">
        <f aca="false">O9</f>
        <v>1</v>
      </c>
      <c r="P23" s="2" t="str">
        <f aca="false">P9</f>
        <v>.</v>
      </c>
      <c r="Q23" s="2" t="str">
        <f aca="false">Q9</f>
        <v>1</v>
      </c>
      <c r="R23" s="2" t="str">
        <f aca="false">R9</f>
        <v>0</v>
      </c>
      <c r="S23" s="2" t="str">
        <f aca="false">S9</f>
        <v>0</v>
      </c>
      <c r="T23" s="2" t="str">
        <f aca="false">T9</f>
        <v>1</v>
      </c>
      <c r="U23" s="2" t="str">
        <f aca="false">U9</f>
        <v>.</v>
      </c>
      <c r="V23" s="2" t="str">
        <f aca="false">V9</f>
        <v>1</v>
      </c>
      <c r="W23" s="2" t="str">
        <f aca="false">W9</f>
        <v>1</v>
      </c>
      <c r="X23" s="2" t="str">
        <f aca="false">X9</f>
        <v>1</v>
      </c>
      <c r="Y23" s="2" t="str">
        <f aca="false">Y9</f>
        <v>0</v>
      </c>
      <c r="AA23" s="0" t="s">
        <v>52</v>
      </c>
      <c r="AB23" s="3" t="s">
        <v>50</v>
      </c>
      <c r="AC23" s="0" t="s">
        <v>53</v>
      </c>
      <c r="AD23" s="5" t="n">
        <f aca="false">C9</f>
        <v>28062</v>
      </c>
    </row>
    <row r="24" customFormat="false" ht="12.8" hidden="false" customHeight="false" outlineLevel="0" collapsed="false">
      <c r="C24" s="0"/>
      <c r="G24" s="11" t="n">
        <f aca="false">IF(G22&lt;&gt;".",MOD(H21+G22+G23,2),".")</f>
        <v>0</v>
      </c>
      <c r="H24" s="11" t="n">
        <f aca="false">IF(H22&lt;&gt;".",MOD(I21+H22+H23,2),".")</f>
        <v>1</v>
      </c>
      <c r="I24" s="11" t="n">
        <f aca="false">IF(I22&lt;&gt;".",MOD(J21+I22+I23,2),".")</f>
        <v>1</v>
      </c>
      <c r="J24" s="11" t="n">
        <f aca="false">IF(J22&lt;&gt;".",MOD(K21+J22+J23,2),".")</f>
        <v>1</v>
      </c>
      <c r="K24" s="11" t="str">
        <f aca="false">IF(K22&lt;&gt;".",MOD(L21+K22+K23,2),".")</f>
        <v>.</v>
      </c>
      <c r="L24" s="11" t="n">
        <f aca="false">IF(L22&lt;&gt;".",MOD(M21+L22+L23,2),".")</f>
        <v>1</v>
      </c>
      <c r="M24" s="11" t="n">
        <f aca="false">IF(M22&lt;&gt;".",MOD(N21+M22+M23,2),".")</f>
        <v>0</v>
      </c>
      <c r="N24" s="11" t="n">
        <f aca="false">IF(N22&lt;&gt;".",MOD(O21+N22+N23,2),".")</f>
        <v>1</v>
      </c>
      <c r="O24" s="11" t="n">
        <f aca="false">IF(O22&lt;&gt;".",MOD(P21+O22+O23,2),".")</f>
        <v>1</v>
      </c>
      <c r="P24" s="11" t="str">
        <f aca="false">IF(P22&lt;&gt;".",MOD(Q21+P22+P23,2),".")</f>
        <v>.</v>
      </c>
      <c r="Q24" s="11" t="n">
        <f aca="false">IF(Q22&lt;&gt;".",MOD(R21+Q22+Q23,2),".")</f>
        <v>1</v>
      </c>
      <c r="R24" s="11" t="n">
        <f aca="false">IF(R22&lt;&gt;".",MOD(S21+R22+R23,2),".")</f>
        <v>0</v>
      </c>
      <c r="S24" s="11" t="n">
        <f aca="false">IF(S22&lt;&gt;".",MOD(T21+S22+S23,2),".")</f>
        <v>1</v>
      </c>
      <c r="T24" s="11" t="n">
        <f aca="false">IF(T22&lt;&gt;".",MOD(U21+T22+T23,2),".")</f>
        <v>1</v>
      </c>
      <c r="U24" s="11" t="str">
        <f aca="false">IF(U22&lt;&gt;".",MOD(V21+U22+U23,2),".")</f>
        <v>.</v>
      </c>
      <c r="V24" s="11" t="n">
        <f aca="false">IF(V22&lt;&gt;".",MOD(W21+V22+V23,2),".")</f>
        <v>1</v>
      </c>
      <c r="W24" s="11" t="n">
        <f aca="false">IF(W22&lt;&gt;".",MOD(X21+W22+W23,2),".")</f>
        <v>1</v>
      </c>
      <c r="X24" s="11" t="n">
        <f aca="false">IF(X22&lt;&gt;".",MOD(Y21+X22+X23,2),".")</f>
        <v>1</v>
      </c>
      <c r="Y24" s="11" t="n">
        <f aca="false">IF(Y22&lt;&gt;".",MOD(Z21+Y22+Y23,2),".")</f>
        <v>1</v>
      </c>
      <c r="Z24" s="2" t="s">
        <v>54</v>
      </c>
      <c r="AA24" s="0" t="n">
        <f aca="false">IF(G24=0,_xlfn.DECIMAL(G24&amp;H24&amp;I24&amp;J24&amp;L24&amp;M24&amp;N24&amp;O24&amp;Q24&amp;R24&amp;S24&amp;T24&amp;V24&amp;W24&amp;X24&amp;Y24,2),0-_xlfn.DECIMAL(G30&amp;H30&amp;I30&amp;J30&amp;L30&amp;M30&amp;N30&amp;O30&amp;Q30&amp;R30&amp;S30&amp;T30&amp;V30&amp;W30&amp;X30&amp;Y30,2))</f>
        <v>31679</v>
      </c>
      <c r="AD24" s="12" t="n">
        <f aca="false">AD22+AD23</f>
        <v>31679</v>
      </c>
    </row>
    <row r="25" customFormat="false" ht="12.8" hidden="false" customHeight="false" outlineLevel="0" collapsed="false">
      <c r="C25" s="0"/>
    </row>
    <row r="26" customFormat="false" ht="12.8" hidden="false" customHeight="false" outlineLevel="0" collapsed="false">
      <c r="C26" s="0"/>
      <c r="AA26" s="0" t="str">
        <f aca="false">IF(AND(AA24=AD24,T32=1),$AC$4,IF(AND(AA24=AD24,T32=0),$AC$3,IF(AND(G22+1-1=0,G23+1-1=0),$AC$5,$AC$6)))</f>
        <v>Результат корректен.</v>
      </c>
    </row>
    <row r="27" customFormat="false" ht="12.8" hidden="false" customHeight="false" outlineLevel="0" collapsed="false">
      <c r="C27" s="0"/>
      <c r="F27" s="0" t="s">
        <v>55</v>
      </c>
      <c r="G27" s="10" t="n">
        <f aca="false">IF(G28&lt;&gt;".",IF(G28+G29&lt;&gt;0,IF(G28+G29+H27=3,1,MOD(G28+G29+H27-1,2)),0),H27)</f>
        <v>0</v>
      </c>
      <c r="H27" s="10" t="n">
        <f aca="false">IF(H28&lt;&gt;".",IF(H28+H29&lt;&gt;0,IF(H28+H29+I27=3,1,MOD(H28+H29+I27-1,2)),0),I27)</f>
        <v>0</v>
      </c>
      <c r="I27" s="10" t="n">
        <f aca="false">IF(I28&lt;&gt;".",IF(I28+I29&lt;&gt;0,IF(I28+I29+J27=3,1,MOD(I28+I29+J27-1,2)),0),J27)</f>
        <v>0</v>
      </c>
      <c r="J27" s="10" t="n">
        <f aca="false">IF(J28&lt;&gt;".",IF(J28+J29&lt;&gt;0,IF(J28+J29+K27=3,1,MOD(J28+J29+K27-1,2)),0),K27)</f>
        <v>0</v>
      </c>
      <c r="K27" s="10" t="n">
        <f aca="false">IF(K28&lt;&gt;".",IF(K28+K29&lt;&gt;0,IF(K28+K29+L27=3,1,MOD(K28+K29+L27-1,2)),0),L27)</f>
        <v>0</v>
      </c>
      <c r="L27" s="10" t="n">
        <f aca="false">IF(L28&lt;&gt;".",IF(L28+L29&lt;&gt;0,IF(L28+L29+M27=3,1,MOD(L28+L29+M27-1,2)),0),M27)</f>
        <v>0</v>
      </c>
      <c r="M27" s="10" t="n">
        <f aca="false">IF(M28&lt;&gt;".",IF(M28+M29&lt;&gt;0,IF(M28+M29+N27=3,1,MOD(M28+M29+N27-1,2)),0),N27)</f>
        <v>0</v>
      </c>
      <c r="N27" s="10" t="n">
        <f aca="false">IF(N28&lt;&gt;".",IF(N28+N29&lt;&gt;0,IF(N28+N29+O27=3,1,MOD(N28+N29+O27-1,2)),0),O27)</f>
        <v>0</v>
      </c>
      <c r="O27" s="10" t="n">
        <f aca="false">IF(O28&lt;&gt;".",IF(O28+O29&lt;&gt;0,IF(O28+O29+P27=3,1,MOD(O28+O29+P27-1,2)),0),P27)</f>
        <v>0</v>
      </c>
      <c r="P27" s="10" t="n">
        <f aca="false">IF(P28&lt;&gt;".",IF(P28+P29&lt;&gt;0,IF(P28+P29+Q27=3,1,MOD(P28+P29+Q27-1,2)),0),Q27)</f>
        <v>0</v>
      </c>
      <c r="Q27" s="10" t="n">
        <f aca="false">IF(Q28&lt;&gt;".",IF(Q28+Q29&lt;&gt;0,IF(Q28+Q29+R27=3,1,MOD(Q28+Q29+R27-1,2)),0),R27)</f>
        <v>0</v>
      </c>
      <c r="R27" s="10" t="n">
        <f aca="false">IF(R28&lt;&gt;".",IF(R28+R29&lt;&gt;0,IF(R28+R29+S27=3,1,MOD(R28+R29+S27-1,2)),0),S27)</f>
        <v>0</v>
      </c>
      <c r="S27" s="10" t="n">
        <f aca="false">IF(S28&lt;&gt;".",IF(S28+S29&lt;&gt;0,IF(S28+S29+T27=3,1,MOD(S28+S29+T27-1,2)),0),T27)</f>
        <v>0</v>
      </c>
      <c r="T27" s="10" t="n">
        <f aca="false">IF(T28&lt;&gt;".",IF(T28+T29&lt;&gt;0,IF(T28+T29+U27=3,1,MOD(T28+T29+U27-1,2)),0),U27)</f>
        <v>0</v>
      </c>
      <c r="U27" s="10" t="n">
        <f aca="false">IF(U28&lt;&gt;".",IF(U28+U29&lt;&gt;0,IF(U28+U29+V27=3,1,MOD(U28+U29+V27-1,2)),0),V27)</f>
        <v>0</v>
      </c>
      <c r="V27" s="10" t="n">
        <f aca="false">IF(V28&lt;&gt;".",IF(V28+V29&lt;&gt;0,IF(V28+V29+W27=3,1,MOD(V28+V29+W27-1,2)),0),W27)</f>
        <v>0</v>
      </c>
      <c r="W27" s="10" t="n">
        <f aca="false">IF(W28&lt;&gt;".",IF(W28+W29&lt;&gt;0,IF(W28+W29+X27=3,1,MOD(W28+W29+X27-1,2)),0),X27)</f>
        <v>0</v>
      </c>
      <c r="X27" s="10" t="n">
        <f aca="false">IF(X28&lt;&gt;".",IF(X28+X29&lt;&gt;0,IF(X28+X29+Y27=3,1,MOD(X28+X29+Y27-1,2)),0),Y27)</f>
        <v>0</v>
      </c>
      <c r="Y27" s="10" t="n">
        <f aca="false">IF(Y28&lt;&gt;".",IF(Y28+Y29&lt;&gt;0,IF(Y28+Y29+Z27=3,1,MOD(Y28+Y29+Z27-1,2)),0),Z27)</f>
        <v>0</v>
      </c>
    </row>
    <row r="28" customFormat="false" ht="12.8" hidden="false" customHeight="false" outlineLevel="0" collapsed="false">
      <c r="C28" s="0"/>
      <c r="F28" s="0" t="s">
        <v>56</v>
      </c>
      <c r="G28" s="2" t="n">
        <f aca="false">IF(G24&lt;&gt;".",MOD(G24+1,2),".")</f>
        <v>1</v>
      </c>
      <c r="H28" s="2" t="n">
        <f aca="false">IF(H24&lt;&gt;".",MOD(H24+1,2),".")</f>
        <v>0</v>
      </c>
      <c r="I28" s="2" t="n">
        <f aca="false">IF(I24&lt;&gt;".",MOD(I24+1,2),".")</f>
        <v>0</v>
      </c>
      <c r="J28" s="2" t="n">
        <f aca="false">IF(J24&lt;&gt;".",MOD(J24+1,2),".")</f>
        <v>0</v>
      </c>
      <c r="K28" s="2" t="str">
        <f aca="false">IF(K24&lt;&gt;".",MOD(K24+1,2),".")</f>
        <v>.</v>
      </c>
      <c r="L28" s="2" t="n">
        <f aca="false">IF(L24&lt;&gt;".",MOD(L24+1,2),".")</f>
        <v>0</v>
      </c>
      <c r="M28" s="2" t="n">
        <f aca="false">IF(M24&lt;&gt;".",MOD(M24+1,2),".")</f>
        <v>1</v>
      </c>
      <c r="N28" s="2" t="n">
        <f aca="false">IF(N24&lt;&gt;".",MOD(N24+1,2),".")</f>
        <v>0</v>
      </c>
      <c r="O28" s="2" t="n">
        <f aca="false">IF(O24&lt;&gt;".",MOD(O24+1,2),".")</f>
        <v>0</v>
      </c>
      <c r="P28" s="2" t="str">
        <f aca="false">IF(P24&lt;&gt;".",MOD(P24+1,2),".")</f>
        <v>.</v>
      </c>
      <c r="Q28" s="2" t="n">
        <f aca="false">IF(Q24&lt;&gt;".",MOD(Q24+1,2),".")</f>
        <v>0</v>
      </c>
      <c r="R28" s="2" t="n">
        <f aca="false">IF(R24&lt;&gt;".",MOD(R24+1,2),".")</f>
        <v>1</v>
      </c>
      <c r="S28" s="2" t="n">
        <f aca="false">IF(S24&lt;&gt;".",MOD(S24+1,2),".")</f>
        <v>0</v>
      </c>
      <c r="T28" s="2" t="n">
        <f aca="false">IF(T24&lt;&gt;".",MOD(T24+1,2),".")</f>
        <v>0</v>
      </c>
      <c r="U28" s="2" t="str">
        <f aca="false">IF(U24&lt;&gt;".",MOD(U24+1,2),".")</f>
        <v>.</v>
      </c>
      <c r="V28" s="2" t="n">
        <f aca="false">IF(V24&lt;&gt;".",MOD(V24+1,2),".")</f>
        <v>0</v>
      </c>
      <c r="W28" s="2" t="n">
        <f aca="false">IF(W24&lt;&gt;".",MOD(W24+1,2),".")</f>
        <v>0</v>
      </c>
      <c r="X28" s="2" t="n">
        <f aca="false">IF(X24&lt;&gt;".",MOD(X24+1,2),".")</f>
        <v>0</v>
      </c>
      <c r="Y28" s="2" t="n">
        <f aca="false">IF(Y24&lt;&gt;".",MOD(Y24+1,2),".")</f>
        <v>0</v>
      </c>
    </row>
    <row r="29" customFormat="false" ht="12.8" hidden="false" customHeight="false" outlineLevel="0" collapsed="false">
      <c r="C29" s="0"/>
      <c r="F29" s="0" t="s">
        <v>57</v>
      </c>
      <c r="G29" s="2" t="n">
        <v>0</v>
      </c>
      <c r="H29" s="2" t="n">
        <v>0</v>
      </c>
      <c r="I29" s="2" t="n">
        <v>0</v>
      </c>
      <c r="J29" s="2" t="n">
        <v>0</v>
      </c>
      <c r="K29" s="2" t="s">
        <v>58</v>
      </c>
      <c r="L29" s="2" t="n">
        <v>0</v>
      </c>
      <c r="M29" s="2" t="n">
        <v>0</v>
      </c>
      <c r="N29" s="2" t="n">
        <v>0</v>
      </c>
      <c r="O29" s="2" t="n">
        <v>0</v>
      </c>
      <c r="P29" s="2" t="s">
        <v>58</v>
      </c>
      <c r="Q29" s="2" t="n">
        <v>0</v>
      </c>
      <c r="R29" s="2" t="n">
        <v>0</v>
      </c>
      <c r="S29" s="2" t="n">
        <v>0</v>
      </c>
      <c r="T29" s="2" t="n">
        <v>0</v>
      </c>
      <c r="U29" s="2" t="s">
        <v>58</v>
      </c>
      <c r="V29" s="2" t="n">
        <v>0</v>
      </c>
      <c r="W29" s="2" t="n">
        <v>0</v>
      </c>
      <c r="X29" s="2" t="n">
        <v>0</v>
      </c>
      <c r="Y29" s="2" t="n">
        <v>1</v>
      </c>
    </row>
    <row r="30" customFormat="false" ht="12.8" hidden="false" customHeight="false" outlineLevel="0" collapsed="false">
      <c r="C30" s="0"/>
      <c r="G30" s="11" t="n">
        <f aca="false">IF(G28&lt;&gt;".",MOD(H27+G28+G29,2),".")</f>
        <v>1</v>
      </c>
      <c r="H30" s="11" t="n">
        <f aca="false">IF(H28&lt;&gt;".",MOD(I27+H28+H29,2),".")</f>
        <v>0</v>
      </c>
      <c r="I30" s="11" t="n">
        <f aca="false">IF(I28&lt;&gt;".",MOD(J27+I28+I29,2),".")</f>
        <v>0</v>
      </c>
      <c r="J30" s="11" t="n">
        <f aca="false">IF(J28&lt;&gt;".",MOD(K27+J28+J29,2),".")</f>
        <v>0</v>
      </c>
      <c r="K30" s="11" t="str">
        <f aca="false">IF(K28&lt;&gt;".",MOD(L27+K28+K29,2),".")</f>
        <v>.</v>
      </c>
      <c r="L30" s="11" t="n">
        <f aca="false">IF(L28&lt;&gt;".",MOD(M27+L28+L29,2),".")</f>
        <v>0</v>
      </c>
      <c r="M30" s="11" t="n">
        <f aca="false">IF(M28&lt;&gt;".",MOD(N27+M28+M29,2),".")</f>
        <v>1</v>
      </c>
      <c r="N30" s="11" t="n">
        <f aca="false">IF(N28&lt;&gt;".",MOD(O27+N28+N29,2),".")</f>
        <v>0</v>
      </c>
      <c r="O30" s="11" t="n">
        <f aca="false">IF(O28&lt;&gt;".",MOD(P27+O28+O29,2),".")</f>
        <v>0</v>
      </c>
      <c r="P30" s="11" t="str">
        <f aca="false">IF(P28&lt;&gt;".",MOD(Q27+P28+P29,2),".")</f>
        <v>.</v>
      </c>
      <c r="Q30" s="11" t="n">
        <f aca="false">IF(Q28&lt;&gt;".",MOD(R27+Q28+Q29,2),".")</f>
        <v>0</v>
      </c>
      <c r="R30" s="11" t="n">
        <f aca="false">IF(R28&lt;&gt;".",MOD(S27+R28+R29,2),".")</f>
        <v>1</v>
      </c>
      <c r="S30" s="11" t="n">
        <f aca="false">IF(S28&lt;&gt;".",MOD(T27+S28+S29,2),".")</f>
        <v>0</v>
      </c>
      <c r="T30" s="11" t="n">
        <f aca="false">IF(T28&lt;&gt;".",MOD(U27+T28+T29,2),".")</f>
        <v>0</v>
      </c>
      <c r="U30" s="11" t="str">
        <f aca="false">IF(U28&lt;&gt;".",MOD(V27+U28+U29,2),".")</f>
        <v>.</v>
      </c>
      <c r="V30" s="11" t="n">
        <f aca="false">IF(V28&lt;&gt;".",MOD(W27+V28+V29,2),".")</f>
        <v>0</v>
      </c>
      <c r="W30" s="11" t="n">
        <f aca="false">IF(W28&lt;&gt;".",MOD(X27+W28+W29,2),".")</f>
        <v>0</v>
      </c>
      <c r="X30" s="11" t="n">
        <f aca="false">IF(X28&lt;&gt;".",MOD(Y27+X28+X29,2),".")</f>
        <v>0</v>
      </c>
      <c r="Y30" s="11" t="n">
        <f aca="false">IF(Y28&lt;&gt;".",MOD(Z27+Y28+Y29,2),".")</f>
        <v>1</v>
      </c>
    </row>
    <row r="32" customFormat="false" ht="12.8" hidden="false" customHeight="false" outlineLevel="0" collapsed="false">
      <c r="G32" s="0" t="s">
        <v>59</v>
      </c>
      <c r="H32" s="13" t="n">
        <f aca="false">G24</f>
        <v>0</v>
      </c>
      <c r="J32" s="0" t="s">
        <v>60</v>
      </c>
      <c r="K32" s="13" t="n">
        <f aca="false">IF(AA24=0,0,1)</f>
        <v>1</v>
      </c>
      <c r="M32" s="0" t="s">
        <v>61</v>
      </c>
      <c r="N32" s="13" t="n">
        <f aca="false">MOD(SUM(Q30:T30)+SUM(V30:Y30)+1,2)</f>
        <v>1</v>
      </c>
      <c r="P32" s="0" t="s">
        <v>62</v>
      </c>
      <c r="Q32" s="13" t="n">
        <f aca="false">U21</f>
        <v>0</v>
      </c>
      <c r="S32" s="0" t="s">
        <v>63</v>
      </c>
      <c r="T32" s="13" t="n">
        <f aca="false">G21</f>
        <v>0</v>
      </c>
      <c r="V32" s="0" t="s">
        <v>64</v>
      </c>
      <c r="W32" s="13" t="n">
        <f aca="false">MOD(G21+H21,2)</f>
        <v>0</v>
      </c>
    </row>
    <row r="35" customFormat="false" ht="12.8" hidden="false" customHeight="false" outlineLevel="0" collapsed="false">
      <c r="G35" s="10" t="n">
        <f aca="false">IF(G36&lt;&gt;".",IF(G36+G37&lt;&gt;0,IF(G36+G37+H35=3,1,MOD(G36+G37+H35-1,2)),0),H35)</f>
        <v>0</v>
      </c>
      <c r="H35" s="10" t="n">
        <f aca="false">IF(H36&lt;&gt;".",IF(H36+H37&lt;&gt;0,IF(H36+H37+I35=3,1,MOD(H36+H37+I35-1,2)),0),I35)</f>
        <v>1</v>
      </c>
      <c r="I35" s="10" t="n">
        <f aca="false">IF(I36&lt;&gt;".",IF(I36+I37&lt;&gt;0,IF(I36+I37+J35=3,1,MOD(I36+I37+J35-1,2)),0),J35)</f>
        <v>1</v>
      </c>
      <c r="J35" s="10" t="n">
        <f aca="false">IF(J36&lt;&gt;".",IF(J36+J37&lt;&gt;0,IF(J36+J37+K35=3,1,MOD(J36+J37+K35-1,2)),0),K35)</f>
        <v>1</v>
      </c>
      <c r="K35" s="10" t="n">
        <f aca="false">IF(K36&lt;&gt;".",IF(K36+K37&lt;&gt;0,IF(K36+K37+L35=3,1,MOD(K36+K37+L35-1,2)),0),L35)</f>
        <v>1</v>
      </c>
      <c r="L35" s="10" t="n">
        <f aca="false">IF(L36&lt;&gt;".",IF(L36+L37&lt;&gt;0,IF(L36+L37+M35=3,1,MOD(L36+L37+M35-1,2)),0),M35)</f>
        <v>1</v>
      </c>
      <c r="M35" s="10" t="n">
        <f aca="false">IF(M36&lt;&gt;".",IF(M36+M37&lt;&gt;0,IF(M36+M37+N35=3,1,MOD(M36+M37+N35-1,2)),0),N35)</f>
        <v>1</v>
      </c>
      <c r="N35" s="10" t="n">
        <f aca="false">IF(N36&lt;&gt;".",IF(N36+N37&lt;&gt;0,IF(N36+N37+O35=3,1,MOD(N36+N37+O35-1,2)),0),O35)</f>
        <v>1</v>
      </c>
      <c r="O35" s="10" t="n">
        <f aca="false">IF(O36&lt;&gt;".",IF(O36+O37&lt;&gt;0,IF(O36+O37+P35=3,1,MOD(O36+O37+P35-1,2)),0),P35)</f>
        <v>1</v>
      </c>
      <c r="P35" s="10" t="n">
        <f aca="false">IF(P36&lt;&gt;".",IF(P36+P37&lt;&gt;0,IF(P36+P37+Q35=3,1,MOD(P36+P37+Q35-1,2)),0),Q35)</f>
        <v>1</v>
      </c>
      <c r="Q35" s="10" t="n">
        <f aca="false">IF(Q36&lt;&gt;".",IF(Q36+Q37&lt;&gt;0,IF(Q36+Q37+R35=3,1,MOD(Q36+Q37+R35-1,2)),0),R35)</f>
        <v>1</v>
      </c>
      <c r="R35" s="10" t="n">
        <f aca="false">IF(R36&lt;&gt;".",IF(R36+R37&lt;&gt;0,IF(R36+R37+S35=3,1,MOD(R36+R37+S35-1,2)),0),S35)</f>
        <v>0</v>
      </c>
      <c r="S35" s="10" t="n">
        <f aca="false">IF(S36&lt;&gt;".",IF(S36+S37&lt;&gt;0,IF(S36+S37+T35=3,1,MOD(S36+S37+T35-1,2)),0),T35)</f>
        <v>1</v>
      </c>
      <c r="T35" s="10" t="n">
        <f aca="false">IF(T36&lt;&gt;".",IF(T36+T37&lt;&gt;0,IF(T36+T37+U35=3,1,MOD(T36+T37+U35-1,2)),0),U35)</f>
        <v>1</v>
      </c>
      <c r="U35" s="10" t="n">
        <f aca="false">IF(U36&lt;&gt;".",IF(U36+U37&lt;&gt;0,IF(U36+U37+V35=3,1,MOD(U36+U37+V35-1,2)),0),V35)</f>
        <v>1</v>
      </c>
      <c r="V35" s="10" t="n">
        <f aca="false">IF(V36&lt;&gt;".",IF(V36+V37&lt;&gt;0,IF(V36+V37+W35=3,1,MOD(V36+V37+W35-1,2)),0),W35)</f>
        <v>1</v>
      </c>
      <c r="W35" s="10" t="n">
        <f aca="false">IF(W36&lt;&gt;".",IF(W36+W37&lt;&gt;0,IF(W36+W37+X35=3,1,MOD(W36+W37+X35-1,2)),0),X35)</f>
        <v>1</v>
      </c>
      <c r="X35" s="10" t="n">
        <f aca="false">IF(X36&lt;&gt;".",IF(X36+X37&lt;&gt;0,IF(X36+X37+Y35=3,1,MOD(X36+X37+Y35-1,2)),0),Y35)</f>
        <v>1</v>
      </c>
      <c r="Y35" s="10" t="n">
        <f aca="false">IF(Y36&lt;&gt;".",IF(Y36+Y37&lt;&gt;0,IF(Y36+Y37+Z35=3,1,MOD(Y36+Y37+Z35-1,2)),0),Z35)</f>
        <v>0</v>
      </c>
    </row>
    <row r="36" customFormat="false" ht="12.8" hidden="false" customHeight="false" outlineLevel="0" collapsed="false">
      <c r="F36" s="14" t="s">
        <v>65</v>
      </c>
      <c r="G36" s="2" t="str">
        <f aca="false">G10</f>
        <v>0</v>
      </c>
      <c r="H36" s="2" t="str">
        <f aca="false">H10</f>
        <v>1</v>
      </c>
      <c r="I36" s="2" t="str">
        <f aca="false">I10</f>
        <v>1</v>
      </c>
      <c r="J36" s="2" t="str">
        <f aca="false">J10</f>
        <v>1</v>
      </c>
      <c r="K36" s="2" t="str">
        <f aca="false">K10</f>
        <v>.</v>
      </c>
      <c r="L36" s="2" t="str">
        <f aca="false">L10</f>
        <v>1</v>
      </c>
      <c r="M36" s="2" t="str">
        <f aca="false">M10</f>
        <v>0</v>
      </c>
      <c r="N36" s="2" t="str">
        <f aca="false">N10</f>
        <v>1</v>
      </c>
      <c r="O36" s="2" t="str">
        <f aca="false">O10</f>
        <v>1</v>
      </c>
      <c r="P36" s="2" t="str">
        <f aca="false">P10</f>
        <v>.</v>
      </c>
      <c r="Q36" s="2" t="str">
        <f aca="false">Q10</f>
        <v>1</v>
      </c>
      <c r="R36" s="2" t="str">
        <f aca="false">R10</f>
        <v>0</v>
      </c>
      <c r="S36" s="2" t="str">
        <f aca="false">S10</f>
        <v>1</v>
      </c>
      <c r="T36" s="2" t="str">
        <f aca="false">T10</f>
        <v>1</v>
      </c>
      <c r="U36" s="2" t="str">
        <f aca="false">U10</f>
        <v>.</v>
      </c>
      <c r="V36" s="2" t="str">
        <f aca="false">V10</f>
        <v>1</v>
      </c>
      <c r="W36" s="2" t="str">
        <f aca="false">W10</f>
        <v>1</v>
      </c>
      <c r="X36" s="2" t="str">
        <f aca="false">X10</f>
        <v>1</v>
      </c>
      <c r="Y36" s="2" t="str">
        <f aca="false">Y10</f>
        <v>1</v>
      </c>
      <c r="AC36" s="0" t="s">
        <v>66</v>
      </c>
      <c r="AD36" s="5" t="n">
        <f aca="false">C10</f>
        <v>31679</v>
      </c>
    </row>
    <row r="37" customFormat="false" ht="12.8" hidden="false" customHeight="false" outlineLevel="0" collapsed="false">
      <c r="E37" s="3" t="s">
        <v>50</v>
      </c>
      <c r="F37" s="0" t="s">
        <v>51</v>
      </c>
      <c r="G37" s="2" t="str">
        <f aca="false">G9</f>
        <v>0</v>
      </c>
      <c r="H37" s="2" t="str">
        <f aca="false">H9</f>
        <v>1</v>
      </c>
      <c r="I37" s="2" t="str">
        <f aca="false">I9</f>
        <v>1</v>
      </c>
      <c r="J37" s="2" t="str">
        <f aca="false">J9</f>
        <v>0</v>
      </c>
      <c r="K37" s="2" t="str">
        <f aca="false">K9</f>
        <v>.</v>
      </c>
      <c r="L37" s="2" t="str">
        <f aca="false">L9</f>
        <v>1</v>
      </c>
      <c r="M37" s="2" t="str">
        <f aca="false">M9</f>
        <v>1</v>
      </c>
      <c r="N37" s="2" t="str">
        <f aca="false">N9</f>
        <v>0</v>
      </c>
      <c r="O37" s="2" t="str">
        <f aca="false">O9</f>
        <v>1</v>
      </c>
      <c r="P37" s="2" t="str">
        <f aca="false">P9</f>
        <v>.</v>
      </c>
      <c r="Q37" s="2" t="str">
        <f aca="false">Q9</f>
        <v>1</v>
      </c>
      <c r="R37" s="2" t="str">
        <f aca="false">R9</f>
        <v>0</v>
      </c>
      <c r="S37" s="2" t="str">
        <f aca="false">S9</f>
        <v>0</v>
      </c>
      <c r="T37" s="2" t="str">
        <f aca="false">T9</f>
        <v>1</v>
      </c>
      <c r="U37" s="2" t="str">
        <f aca="false">U9</f>
        <v>.</v>
      </c>
      <c r="V37" s="2" t="str">
        <f aca="false">V9</f>
        <v>1</v>
      </c>
      <c r="W37" s="2" t="str">
        <f aca="false">W9</f>
        <v>1</v>
      </c>
      <c r="X37" s="2" t="str">
        <f aca="false">X9</f>
        <v>1</v>
      </c>
      <c r="Y37" s="2" t="str">
        <f aca="false">Y9</f>
        <v>0</v>
      </c>
      <c r="AA37" s="0" t="s">
        <v>52</v>
      </c>
      <c r="AB37" s="3" t="s">
        <v>50</v>
      </c>
      <c r="AC37" s="0" t="s">
        <v>53</v>
      </c>
      <c r="AD37" s="5" t="n">
        <f aca="false">C9</f>
        <v>28062</v>
      </c>
    </row>
    <row r="38" customFormat="false" ht="12.8" hidden="false" customHeight="false" outlineLevel="0" collapsed="false">
      <c r="G38" s="11" t="n">
        <f aca="false">IF(G36&lt;&gt;".",MOD(H35+G36+G37,2),".")</f>
        <v>1</v>
      </c>
      <c r="H38" s="11" t="n">
        <f aca="false">IF(H36&lt;&gt;".",MOD(I35+H36+H37,2),".")</f>
        <v>1</v>
      </c>
      <c r="I38" s="11" t="n">
        <f aca="false">IF(I36&lt;&gt;".",MOD(J35+I36+I37,2),".")</f>
        <v>1</v>
      </c>
      <c r="J38" s="11" t="n">
        <f aca="false">IF(J36&lt;&gt;".",MOD(K35+J36+J37,2),".")</f>
        <v>0</v>
      </c>
      <c r="K38" s="11" t="str">
        <f aca="false">IF(K36&lt;&gt;".",MOD(L35+K36+K37,2),".")</f>
        <v>.</v>
      </c>
      <c r="L38" s="11" t="n">
        <f aca="false">IF(L36&lt;&gt;".",MOD(M35+L36+L37,2),".")</f>
        <v>1</v>
      </c>
      <c r="M38" s="11" t="n">
        <f aca="false">IF(M36&lt;&gt;".",MOD(N35+M36+M37,2),".")</f>
        <v>0</v>
      </c>
      <c r="N38" s="11" t="n">
        <f aca="false">IF(N36&lt;&gt;".",MOD(O35+N36+N37,2),".")</f>
        <v>0</v>
      </c>
      <c r="O38" s="11" t="n">
        <f aca="false">IF(O36&lt;&gt;".",MOD(P35+O36+O37,2),".")</f>
        <v>1</v>
      </c>
      <c r="P38" s="11" t="str">
        <f aca="false">IF(P36&lt;&gt;".",MOD(Q35+P36+P37,2),".")</f>
        <v>.</v>
      </c>
      <c r="Q38" s="11" t="n">
        <f aca="false">IF(Q36&lt;&gt;".",MOD(R35+Q36+Q37,2),".")</f>
        <v>0</v>
      </c>
      <c r="R38" s="11" t="n">
        <f aca="false">IF(R36&lt;&gt;".",MOD(S35+R36+R37,2),".")</f>
        <v>1</v>
      </c>
      <c r="S38" s="11" t="n">
        <f aca="false">IF(S36&lt;&gt;".",MOD(T35+S36+S37,2),".")</f>
        <v>0</v>
      </c>
      <c r="T38" s="11" t="n">
        <f aca="false">IF(T36&lt;&gt;".",MOD(U35+T36+T37,2),".")</f>
        <v>1</v>
      </c>
      <c r="U38" s="11" t="str">
        <f aca="false">IF(U36&lt;&gt;".",MOD(V35+U36+U37,2),".")</f>
        <v>.</v>
      </c>
      <c r="V38" s="11" t="n">
        <f aca="false">IF(V36&lt;&gt;".",MOD(W35+V36+V37,2),".")</f>
        <v>1</v>
      </c>
      <c r="W38" s="11" t="n">
        <f aca="false">IF(W36&lt;&gt;".",MOD(X35+W36+W37,2),".")</f>
        <v>1</v>
      </c>
      <c r="X38" s="11" t="n">
        <f aca="false">IF(X36&lt;&gt;".",MOD(Y35+X36+X37,2),".")</f>
        <v>0</v>
      </c>
      <c r="Y38" s="11" t="n">
        <f aca="false">IF(Y36&lt;&gt;".",MOD(Z35+Y36+Y37,2),".")</f>
        <v>1</v>
      </c>
      <c r="Z38" s="2" t="s">
        <v>54</v>
      </c>
      <c r="AA38" s="0" t="n">
        <f aca="false">IF(G38=0,_xlfn.DECIMAL(G38&amp;H38&amp;I38&amp;J38&amp;L38&amp;M38&amp;N38&amp;O38&amp;Q38&amp;R38&amp;S38&amp;T38&amp;V38&amp;W38&amp;X38&amp;Y38,2),0-_xlfn.DECIMAL(G44&amp;H44&amp;I44&amp;J44&amp;L44&amp;M44&amp;N44&amp;O44&amp;Q44&amp;R44&amp;S44&amp;T44&amp;V44&amp;W44&amp;X44&amp;Y44,2))</f>
        <v>-5795</v>
      </c>
      <c r="AD38" s="12" t="n">
        <f aca="false">AD36+AD37</f>
        <v>59741</v>
      </c>
    </row>
    <row r="40" customFormat="false" ht="12.8" hidden="false" customHeight="false" outlineLevel="0" collapsed="false">
      <c r="AA40" s="0" t="str">
        <f aca="false">IF(AND(AA38=AD38,T46=1),$AC$4,IF(AND(AA38=AD38,T46=0),$AC$3,IF(AND(G36+1-1=0,G37+1-1=0),$AC$5,$AC$6)))</f>
        <v>При сложении положительных чисел получен отрицательный результат. Произошло переполнение.</v>
      </c>
    </row>
    <row r="41" customFormat="false" ht="12.8" hidden="false" customHeight="false" outlineLevel="0" collapsed="false">
      <c r="F41" s="0" t="s">
        <v>55</v>
      </c>
      <c r="G41" s="10" t="n">
        <f aca="false">IF(G42&lt;&gt;".",IF(G42+G43&lt;&gt;0,IF(G42+G43+H41=3,1,MOD(G42+G43+H41-1,2)),0),H41)</f>
        <v>0</v>
      </c>
      <c r="H41" s="10" t="n">
        <f aca="false">IF(H42&lt;&gt;".",IF(H42+H43&lt;&gt;0,IF(H42+H43+I41=3,1,MOD(H42+H43+I41-1,2)),0),I41)</f>
        <v>0</v>
      </c>
      <c r="I41" s="10" t="n">
        <f aca="false">IF(I42&lt;&gt;".",IF(I42+I43&lt;&gt;0,IF(I42+I43+J41=3,1,MOD(I42+I43+J41-1,2)),0),J41)</f>
        <v>0</v>
      </c>
      <c r="J41" s="10" t="n">
        <f aca="false">IF(J42&lt;&gt;".",IF(J42+J43&lt;&gt;0,IF(J42+J43+K41=3,1,MOD(J42+J43+K41-1,2)),0),K41)</f>
        <v>0</v>
      </c>
      <c r="K41" s="10" t="n">
        <f aca="false">IF(K42&lt;&gt;".",IF(K42+K43&lt;&gt;0,IF(K42+K43+L41=3,1,MOD(K42+K43+L41-1,2)),0),L41)</f>
        <v>0</v>
      </c>
      <c r="L41" s="10" t="n">
        <f aca="false">IF(L42&lt;&gt;".",IF(L42+L43&lt;&gt;0,IF(L42+L43+M41=3,1,MOD(L42+L43+M41-1,2)),0),M41)</f>
        <v>0</v>
      </c>
      <c r="M41" s="10" t="n">
        <f aca="false">IF(M42&lt;&gt;".",IF(M42+M43&lt;&gt;0,IF(M42+M43+N41=3,1,MOD(M42+M43+N41-1,2)),0),N41)</f>
        <v>0</v>
      </c>
      <c r="N41" s="10" t="n">
        <f aca="false">IF(N42&lt;&gt;".",IF(N42+N43&lt;&gt;0,IF(N42+N43+O41=3,1,MOD(N42+N43+O41-1,2)),0),O41)</f>
        <v>0</v>
      </c>
      <c r="O41" s="10" t="n">
        <f aca="false">IF(O42&lt;&gt;".",IF(O42+O43&lt;&gt;0,IF(O42+O43+P41=3,1,MOD(O42+O43+P41-1,2)),0),P41)</f>
        <v>0</v>
      </c>
      <c r="P41" s="10" t="n">
        <f aca="false">IF(P42&lt;&gt;".",IF(P42+P43&lt;&gt;0,IF(P42+P43+Q41=3,1,MOD(P42+P43+Q41-1,2)),0),Q41)</f>
        <v>0</v>
      </c>
      <c r="Q41" s="10" t="n">
        <f aca="false">IF(Q42&lt;&gt;".",IF(Q42+Q43&lt;&gt;0,IF(Q42+Q43+R41=3,1,MOD(Q42+Q43+R41-1,2)),0),R41)</f>
        <v>0</v>
      </c>
      <c r="R41" s="10" t="n">
        <f aca="false">IF(R42&lt;&gt;".",IF(R42+R43&lt;&gt;0,IF(R42+R43+S41=3,1,MOD(R42+R43+S41-1,2)),0),S41)</f>
        <v>0</v>
      </c>
      <c r="S41" s="10" t="n">
        <f aca="false">IF(S42&lt;&gt;".",IF(S42+S43&lt;&gt;0,IF(S42+S43+T41=3,1,MOD(S42+S43+T41-1,2)),0),T41)</f>
        <v>0</v>
      </c>
      <c r="T41" s="10" t="n">
        <f aca="false">IF(T42&lt;&gt;".",IF(T42+T43&lt;&gt;0,IF(T42+T43+U41=3,1,MOD(T42+T43+U41-1,2)),0),U41)</f>
        <v>0</v>
      </c>
      <c r="U41" s="10" t="n">
        <f aca="false">IF(U42&lt;&gt;".",IF(U42+U43&lt;&gt;0,IF(U42+U43+V41=3,1,MOD(U42+U43+V41-1,2)),0),V41)</f>
        <v>0</v>
      </c>
      <c r="V41" s="10" t="n">
        <f aca="false">IF(V42&lt;&gt;".",IF(V42+V43&lt;&gt;0,IF(V42+V43+W41=3,1,MOD(V42+V43+W41-1,2)),0),W41)</f>
        <v>0</v>
      </c>
      <c r="W41" s="10" t="n">
        <f aca="false">IF(W42&lt;&gt;".",IF(W42+W43&lt;&gt;0,IF(W42+W43+X41=3,1,MOD(W42+W43+X41-1,2)),0),X41)</f>
        <v>0</v>
      </c>
      <c r="X41" s="10" t="n">
        <f aca="false">IF(X42&lt;&gt;".",IF(X42+X43&lt;&gt;0,IF(X42+X43+Y41=3,1,MOD(X42+X43+Y41-1,2)),0),Y41)</f>
        <v>0</v>
      </c>
      <c r="Y41" s="10" t="n">
        <f aca="false">IF(Y42&lt;&gt;".",IF(Y42+Y43&lt;&gt;0,IF(Y42+Y43+Z41=3,1,MOD(Y42+Y43+Z41-1,2)),0),Z41)</f>
        <v>0</v>
      </c>
      <c r="AA41" s="15"/>
    </row>
    <row r="42" customFormat="false" ht="12.8" hidden="false" customHeight="false" outlineLevel="0" collapsed="false">
      <c r="F42" s="0" t="s">
        <v>56</v>
      </c>
      <c r="G42" s="2" t="n">
        <f aca="false">IF(G38&lt;&gt;".",MOD(G38+1,2),".")</f>
        <v>0</v>
      </c>
      <c r="H42" s="2" t="n">
        <f aca="false">IF(H38&lt;&gt;".",MOD(H38+1,2),".")</f>
        <v>0</v>
      </c>
      <c r="I42" s="2" t="n">
        <f aca="false">IF(I38&lt;&gt;".",MOD(I38+1,2),".")</f>
        <v>0</v>
      </c>
      <c r="J42" s="2" t="n">
        <f aca="false">IF(J38&lt;&gt;".",MOD(J38+1,2),".")</f>
        <v>1</v>
      </c>
      <c r="K42" s="2" t="str">
        <f aca="false">IF(K38&lt;&gt;".",MOD(K38+1,2),".")</f>
        <v>.</v>
      </c>
      <c r="L42" s="2" t="n">
        <f aca="false">IF(L38&lt;&gt;".",MOD(L38+1,2),".")</f>
        <v>0</v>
      </c>
      <c r="M42" s="2" t="n">
        <f aca="false">IF(M38&lt;&gt;".",MOD(M38+1,2),".")</f>
        <v>1</v>
      </c>
      <c r="N42" s="2" t="n">
        <f aca="false">IF(N38&lt;&gt;".",MOD(N38+1,2),".")</f>
        <v>1</v>
      </c>
      <c r="O42" s="2" t="n">
        <f aca="false">IF(O38&lt;&gt;".",MOD(O38+1,2),".")</f>
        <v>0</v>
      </c>
      <c r="P42" s="2" t="str">
        <f aca="false">IF(P38&lt;&gt;".",MOD(P38+1,2),".")</f>
        <v>.</v>
      </c>
      <c r="Q42" s="2" t="n">
        <f aca="false">IF(Q38&lt;&gt;".",MOD(Q38+1,2),".")</f>
        <v>1</v>
      </c>
      <c r="R42" s="2" t="n">
        <f aca="false">IF(R38&lt;&gt;".",MOD(R38+1,2),".")</f>
        <v>0</v>
      </c>
      <c r="S42" s="2" t="n">
        <f aca="false">IF(S38&lt;&gt;".",MOD(S38+1,2),".")</f>
        <v>1</v>
      </c>
      <c r="T42" s="2" t="n">
        <f aca="false">IF(T38&lt;&gt;".",MOD(T38+1,2),".")</f>
        <v>0</v>
      </c>
      <c r="U42" s="2" t="str">
        <f aca="false">IF(U38&lt;&gt;".",MOD(U38+1,2),".")</f>
        <v>.</v>
      </c>
      <c r="V42" s="2" t="n">
        <f aca="false">IF(V38&lt;&gt;".",MOD(V38+1,2),".")</f>
        <v>0</v>
      </c>
      <c r="W42" s="2" t="n">
        <f aca="false">IF(W38&lt;&gt;".",MOD(W38+1,2),".")</f>
        <v>0</v>
      </c>
      <c r="X42" s="2" t="n">
        <f aca="false">IF(X38&lt;&gt;".",MOD(X38+1,2),".")</f>
        <v>1</v>
      </c>
      <c r="Y42" s="2" t="n">
        <f aca="false">IF(Y38&lt;&gt;".",MOD(Y38+1,2),".")</f>
        <v>0</v>
      </c>
    </row>
    <row r="43" customFormat="false" ht="12.8" hidden="false" customHeight="false" outlineLevel="0" collapsed="false">
      <c r="F43" s="0" t="s">
        <v>57</v>
      </c>
      <c r="G43" s="2" t="n">
        <v>0</v>
      </c>
      <c r="H43" s="2" t="n">
        <v>0</v>
      </c>
      <c r="I43" s="2" t="n">
        <v>0</v>
      </c>
      <c r="J43" s="2" t="n">
        <v>0</v>
      </c>
      <c r="K43" s="2" t="s">
        <v>58</v>
      </c>
      <c r="L43" s="2" t="n">
        <v>0</v>
      </c>
      <c r="M43" s="2" t="n">
        <v>0</v>
      </c>
      <c r="N43" s="2" t="n">
        <v>0</v>
      </c>
      <c r="O43" s="2" t="n">
        <v>0</v>
      </c>
      <c r="P43" s="2" t="s">
        <v>58</v>
      </c>
      <c r="Q43" s="2" t="n">
        <v>0</v>
      </c>
      <c r="R43" s="2" t="n">
        <v>0</v>
      </c>
      <c r="S43" s="2" t="n">
        <v>0</v>
      </c>
      <c r="T43" s="2" t="n">
        <v>0</v>
      </c>
      <c r="U43" s="2" t="s">
        <v>58</v>
      </c>
      <c r="V43" s="2" t="n">
        <v>0</v>
      </c>
      <c r="W43" s="2" t="n">
        <v>0</v>
      </c>
      <c r="X43" s="2" t="n">
        <v>0</v>
      </c>
      <c r="Y43" s="2" t="n">
        <v>1</v>
      </c>
    </row>
    <row r="44" customFormat="false" ht="12.8" hidden="false" customHeight="false" outlineLevel="0" collapsed="false">
      <c r="G44" s="11" t="n">
        <f aca="false">IF(G42&lt;&gt;".",MOD(H41+G42+G43,2),".")</f>
        <v>0</v>
      </c>
      <c r="H44" s="11" t="n">
        <f aca="false">IF(H42&lt;&gt;".",MOD(I41+H42+H43,2),".")</f>
        <v>0</v>
      </c>
      <c r="I44" s="11" t="n">
        <f aca="false">IF(I42&lt;&gt;".",MOD(J41+I42+I43,2),".")</f>
        <v>0</v>
      </c>
      <c r="J44" s="11" t="n">
        <f aca="false">IF(J42&lt;&gt;".",MOD(K41+J42+J43,2),".")</f>
        <v>1</v>
      </c>
      <c r="K44" s="11" t="str">
        <f aca="false">IF(K42&lt;&gt;".",MOD(L41+K42+K43,2),".")</f>
        <v>.</v>
      </c>
      <c r="L44" s="11" t="n">
        <f aca="false">IF(L42&lt;&gt;".",MOD(M41+L42+L43,2),".")</f>
        <v>0</v>
      </c>
      <c r="M44" s="11" t="n">
        <f aca="false">IF(M42&lt;&gt;".",MOD(N41+M42+M43,2),".")</f>
        <v>1</v>
      </c>
      <c r="N44" s="11" t="n">
        <f aca="false">IF(N42&lt;&gt;".",MOD(O41+N42+N43,2),".")</f>
        <v>1</v>
      </c>
      <c r="O44" s="11" t="n">
        <f aca="false">IF(O42&lt;&gt;".",MOD(P41+O42+O43,2),".")</f>
        <v>0</v>
      </c>
      <c r="P44" s="11" t="str">
        <f aca="false">IF(P42&lt;&gt;".",MOD(Q41+P42+P43,2),".")</f>
        <v>.</v>
      </c>
      <c r="Q44" s="11" t="n">
        <f aca="false">IF(Q42&lt;&gt;".",MOD(R41+Q42+Q43,2),".")</f>
        <v>1</v>
      </c>
      <c r="R44" s="11" t="n">
        <f aca="false">IF(R42&lt;&gt;".",MOD(S41+R42+R43,2),".")</f>
        <v>0</v>
      </c>
      <c r="S44" s="11" t="n">
        <f aca="false">IF(S42&lt;&gt;".",MOD(T41+S42+S43,2),".")</f>
        <v>1</v>
      </c>
      <c r="T44" s="11" t="n">
        <f aca="false">IF(T42&lt;&gt;".",MOD(U41+T42+T43,2),".")</f>
        <v>0</v>
      </c>
      <c r="U44" s="11" t="str">
        <f aca="false">IF(U42&lt;&gt;".",MOD(V41+U42+U43,2),".")</f>
        <v>.</v>
      </c>
      <c r="V44" s="11" t="n">
        <f aca="false">IF(V42&lt;&gt;".",MOD(W41+V42+V43,2),".")</f>
        <v>0</v>
      </c>
      <c r="W44" s="11" t="n">
        <f aca="false">IF(W42&lt;&gt;".",MOD(X41+W42+W43,2),".")</f>
        <v>0</v>
      </c>
      <c r="X44" s="11" t="n">
        <f aca="false">IF(X42&lt;&gt;".",MOD(Y41+X42+X43,2),".")</f>
        <v>1</v>
      </c>
      <c r="Y44" s="11" t="n">
        <f aca="false">IF(Y42&lt;&gt;".",MOD(Z41+Y42+Y43,2),".")</f>
        <v>1</v>
      </c>
    </row>
    <row r="46" customFormat="false" ht="12.8" hidden="false" customHeight="false" outlineLevel="0" collapsed="false">
      <c r="G46" s="0" t="s">
        <v>59</v>
      </c>
      <c r="H46" s="13" t="n">
        <f aca="false">G38</f>
        <v>1</v>
      </c>
      <c r="J46" s="0" t="s">
        <v>60</v>
      </c>
      <c r="K46" s="13" t="n">
        <f aca="false">IF(AA38=0,0,1)</f>
        <v>1</v>
      </c>
      <c r="M46" s="0" t="s">
        <v>61</v>
      </c>
      <c r="N46" s="13" t="n">
        <f aca="false">MOD(SUM(Q44:T44)+SUM(V44:Y44)+1,2)</f>
        <v>1</v>
      </c>
      <c r="P46" s="0" t="s">
        <v>62</v>
      </c>
      <c r="Q46" s="13" t="n">
        <f aca="false">U35</f>
        <v>1</v>
      </c>
      <c r="S46" s="0" t="s">
        <v>63</v>
      </c>
      <c r="T46" s="13" t="n">
        <f aca="false">G35</f>
        <v>0</v>
      </c>
      <c r="V46" s="0" t="s">
        <v>64</v>
      </c>
      <c r="W46" s="13" t="n">
        <f aca="false">MOD(G35+H35,2)</f>
        <v>1</v>
      </c>
    </row>
    <row r="49" customFormat="false" ht="12.8" hidden="false" customHeight="false" outlineLevel="0" collapsed="false">
      <c r="G49" s="10" t="n">
        <f aca="false">IF(G50&lt;&gt;".",IF(G50+G51&lt;&gt;0,IF(G50+G51+H49=3,1,MOD(G50+G51+H49-1,2)),0),H49)</f>
        <v>1</v>
      </c>
      <c r="H49" s="10" t="n">
        <f aca="false">IF(H50&lt;&gt;".",IF(H50+H51&lt;&gt;0,IF(H50+H51+I49=3,1,MOD(H50+H51+I49-1,2)),0),I49)</f>
        <v>1</v>
      </c>
      <c r="I49" s="10" t="n">
        <f aca="false">IF(I50&lt;&gt;".",IF(I50+I51&lt;&gt;0,IF(I50+I51+J49=3,1,MOD(I50+I51+J49-1,2)),0),J49)</f>
        <v>1</v>
      </c>
      <c r="J49" s="10" t="n">
        <f aca="false">IF(J50&lt;&gt;".",IF(J50+J51&lt;&gt;0,IF(J50+J51+K49=3,1,MOD(J50+J51+K49-1,2)),0),K49)</f>
        <v>0</v>
      </c>
      <c r="K49" s="10" t="n">
        <f aca="false">IF(K50&lt;&gt;".",IF(K50+K51&lt;&gt;0,IF(K50+K51+L49=3,1,MOD(K50+K51+L49-1,2)),0),L49)</f>
        <v>0</v>
      </c>
      <c r="L49" s="10" t="n">
        <f aca="false">IF(L50&lt;&gt;".",IF(L50+L51&lt;&gt;0,IF(L50+L51+M49=3,1,MOD(L50+L51+M49-1,2)),0),M49)</f>
        <v>0</v>
      </c>
      <c r="M49" s="10" t="n">
        <f aca="false">IF(M50&lt;&gt;".",IF(M50+M51&lt;&gt;0,IF(M50+M51+N49=3,1,MOD(M50+M51+N49-1,2)),0),N49)</f>
        <v>0</v>
      </c>
      <c r="N49" s="10" t="n">
        <f aca="false">IF(N50&lt;&gt;".",IF(N50+N51&lt;&gt;0,IF(N50+N51+O49=3,1,MOD(N50+N51+O49-1,2)),0),O49)</f>
        <v>0</v>
      </c>
      <c r="O49" s="10" t="n">
        <f aca="false">IF(O50&lt;&gt;".",IF(O50+O51&lt;&gt;0,IF(O50+O51+P49=3,1,MOD(O50+O51+P49-1,2)),0),P49)</f>
        <v>1</v>
      </c>
      <c r="P49" s="10" t="n">
        <f aca="false">IF(P50&lt;&gt;".",IF(P50+P51&lt;&gt;0,IF(P50+P51+Q49=3,1,MOD(P50+P51+Q49-1,2)),0),Q49)</f>
        <v>1</v>
      </c>
      <c r="Q49" s="10" t="n">
        <f aca="false">IF(Q50&lt;&gt;".",IF(Q50+Q51&lt;&gt;0,IF(Q50+Q51+R49=3,1,MOD(Q50+Q51+R49-1,2)),0),R49)</f>
        <v>1</v>
      </c>
      <c r="R49" s="10" t="n">
        <f aca="false">IF(R50&lt;&gt;".",IF(R50+R51&lt;&gt;0,IF(R50+R51+S49=3,1,MOD(R50+R51+S49-1,2)),0),S49)</f>
        <v>0</v>
      </c>
      <c r="S49" s="10" t="n">
        <f aca="false">IF(S50&lt;&gt;".",IF(S50+S51&lt;&gt;0,IF(S50+S51+T49=3,1,MOD(S50+S51+T49-1,2)),0),T49)</f>
        <v>0</v>
      </c>
      <c r="T49" s="10" t="n">
        <f aca="false">IF(T50&lt;&gt;".",IF(T50+T51&lt;&gt;0,IF(T50+T51+U49=3,1,MOD(T50+T51+U49-1,2)),0),U49)</f>
        <v>1</v>
      </c>
      <c r="U49" s="10" t="n">
        <f aca="false">IF(U50&lt;&gt;".",IF(U50+U51&lt;&gt;0,IF(U50+U51+V49=3,1,MOD(U50+U51+V49-1,2)),0),V49)</f>
        <v>1</v>
      </c>
      <c r="V49" s="10" t="n">
        <f aca="false">IF(V50&lt;&gt;".",IF(V50+V51&lt;&gt;0,IF(V50+V51+W49=3,1,MOD(V50+V51+W49-1,2)),0),W49)</f>
        <v>1</v>
      </c>
      <c r="W49" s="10" t="n">
        <f aca="false">IF(W50&lt;&gt;".",IF(W50+W51&lt;&gt;0,IF(W50+W51+X49=3,1,MOD(W50+W51+X49-1,2)),0),X49)</f>
        <v>1</v>
      </c>
      <c r="X49" s="10" t="n">
        <f aca="false">IF(X50&lt;&gt;".",IF(X50+X51&lt;&gt;0,IF(X50+X51+Y49=3,1,MOD(X50+X51+Y49-1,2)),0),Y49)</f>
        <v>1</v>
      </c>
      <c r="Y49" s="10" t="n">
        <f aca="false">IF(Y50&lt;&gt;".",IF(Y50+Y51&lt;&gt;0,IF(Y50+Y51+Z49=3,1,MOD(Y50+Y51+Z49-1,2)),0),Z49)</f>
        <v>0</v>
      </c>
    </row>
    <row r="50" customFormat="false" ht="12.8" hidden="false" customHeight="false" outlineLevel="0" collapsed="false">
      <c r="F50" s="14" t="s">
        <v>67</v>
      </c>
      <c r="G50" s="2" t="str">
        <f aca="false">G14</f>
        <v>1</v>
      </c>
      <c r="H50" s="2" t="str">
        <f aca="false">H14</f>
        <v>1</v>
      </c>
      <c r="I50" s="2" t="str">
        <f aca="false">I14</f>
        <v>1</v>
      </c>
      <c r="J50" s="2" t="str">
        <f aca="false">J14</f>
        <v>1</v>
      </c>
      <c r="K50" s="2" t="str">
        <f aca="false">K14</f>
        <v>.</v>
      </c>
      <c r="L50" s="2" t="str">
        <f aca="false">L14</f>
        <v>0</v>
      </c>
      <c r="M50" s="2" t="str">
        <f aca="false">M14</f>
        <v>0</v>
      </c>
      <c r="N50" s="2" t="str">
        <f aca="false">N14</f>
        <v>0</v>
      </c>
      <c r="O50" s="2" t="str">
        <f aca="false">O14</f>
        <v>1</v>
      </c>
      <c r="P50" s="2" t="str">
        <f aca="false">P14</f>
        <v>.</v>
      </c>
      <c r="Q50" s="2" t="str">
        <f aca="false">Q14</f>
        <v>1</v>
      </c>
      <c r="R50" s="2" t="str">
        <f aca="false">R14</f>
        <v>1</v>
      </c>
      <c r="S50" s="2" t="str">
        <f aca="false">S14</f>
        <v>0</v>
      </c>
      <c r="T50" s="2" t="str">
        <f aca="false">T14</f>
        <v>1</v>
      </c>
      <c r="U50" s="2" t="str">
        <f aca="false">U14</f>
        <v>.</v>
      </c>
      <c r="V50" s="2" t="str">
        <f aca="false">V14</f>
        <v>1</v>
      </c>
      <c r="W50" s="2" t="str">
        <f aca="false">W14</f>
        <v>1</v>
      </c>
      <c r="X50" s="2" t="str">
        <f aca="false">X14</f>
        <v>1</v>
      </c>
      <c r="Y50" s="2" t="str">
        <f aca="false">Y14</f>
        <v>1</v>
      </c>
      <c r="AC50" s="0" t="s">
        <v>68</v>
      </c>
      <c r="AD50" s="5" t="n">
        <f aca="false">C14</f>
        <v>-3617</v>
      </c>
    </row>
    <row r="51" customFormat="false" ht="12.8" hidden="false" customHeight="false" outlineLevel="0" collapsed="false">
      <c r="E51" s="3" t="s">
        <v>50</v>
      </c>
      <c r="F51" s="0" t="s">
        <v>51</v>
      </c>
      <c r="G51" s="2" t="str">
        <f aca="false">G37</f>
        <v>0</v>
      </c>
      <c r="H51" s="2" t="str">
        <f aca="false">H37</f>
        <v>1</v>
      </c>
      <c r="I51" s="2" t="str">
        <f aca="false">I37</f>
        <v>1</v>
      </c>
      <c r="J51" s="2" t="str">
        <f aca="false">J37</f>
        <v>0</v>
      </c>
      <c r="K51" s="2" t="str">
        <f aca="false">K37</f>
        <v>.</v>
      </c>
      <c r="L51" s="2" t="str">
        <f aca="false">L37</f>
        <v>1</v>
      </c>
      <c r="M51" s="2" t="str">
        <f aca="false">M37</f>
        <v>1</v>
      </c>
      <c r="N51" s="2" t="str">
        <f aca="false">N37</f>
        <v>0</v>
      </c>
      <c r="O51" s="2" t="str">
        <f aca="false">O37</f>
        <v>1</v>
      </c>
      <c r="P51" s="2" t="str">
        <f aca="false">P37</f>
        <v>.</v>
      </c>
      <c r="Q51" s="2" t="str">
        <f aca="false">Q37</f>
        <v>1</v>
      </c>
      <c r="R51" s="2" t="str">
        <f aca="false">R37</f>
        <v>0</v>
      </c>
      <c r="S51" s="2" t="str">
        <f aca="false">S37</f>
        <v>0</v>
      </c>
      <c r="T51" s="2" t="str">
        <f aca="false">T37</f>
        <v>1</v>
      </c>
      <c r="U51" s="2" t="str">
        <f aca="false">U37</f>
        <v>.</v>
      </c>
      <c r="V51" s="2" t="str">
        <f aca="false">V37</f>
        <v>1</v>
      </c>
      <c r="W51" s="2" t="str">
        <f aca="false">W37</f>
        <v>1</v>
      </c>
      <c r="X51" s="2" t="str">
        <f aca="false">X37</f>
        <v>1</v>
      </c>
      <c r="Y51" s="2" t="str">
        <f aca="false">Y37</f>
        <v>0</v>
      </c>
      <c r="AA51" s="0" t="s">
        <v>52</v>
      </c>
      <c r="AB51" s="3" t="s">
        <v>50</v>
      </c>
      <c r="AC51" s="0" t="s">
        <v>53</v>
      </c>
      <c r="AD51" s="5" t="n">
        <f aca="false">C9</f>
        <v>28062</v>
      </c>
    </row>
    <row r="52" customFormat="false" ht="12.8" hidden="false" customHeight="false" outlineLevel="0" collapsed="false">
      <c r="G52" s="11" t="n">
        <f aca="false">IF(G50&lt;&gt;".",MOD(H49+G50+G51,2),".")</f>
        <v>0</v>
      </c>
      <c r="H52" s="11" t="n">
        <f aca="false">IF(H50&lt;&gt;".",MOD(I49+H50+H51,2),".")</f>
        <v>1</v>
      </c>
      <c r="I52" s="11" t="n">
        <f aca="false">IF(I50&lt;&gt;".",MOD(J49+I50+I51,2),".")</f>
        <v>0</v>
      </c>
      <c r="J52" s="11" t="n">
        <f aca="false">IF(J50&lt;&gt;".",MOD(K49+J50+J51,2),".")</f>
        <v>1</v>
      </c>
      <c r="K52" s="11" t="str">
        <f aca="false">IF(K50&lt;&gt;".",MOD(L49+K50+K51,2),".")</f>
        <v>.</v>
      </c>
      <c r="L52" s="11" t="n">
        <f aca="false">IF(L50&lt;&gt;".",MOD(M49+L50+L51,2),".")</f>
        <v>1</v>
      </c>
      <c r="M52" s="11" t="n">
        <f aca="false">IF(M50&lt;&gt;".",MOD(N49+M50+M51,2),".")</f>
        <v>1</v>
      </c>
      <c r="N52" s="11" t="n">
        <f aca="false">IF(N50&lt;&gt;".",MOD(O49+N50+N51,2),".")</f>
        <v>1</v>
      </c>
      <c r="O52" s="11" t="n">
        <f aca="false">IF(O50&lt;&gt;".",MOD(P49+O50+O51,2),".")</f>
        <v>1</v>
      </c>
      <c r="P52" s="11" t="str">
        <f aca="false">IF(P50&lt;&gt;".",MOD(Q49+P50+P51,2),".")</f>
        <v>.</v>
      </c>
      <c r="Q52" s="11" t="n">
        <f aca="false">IF(Q50&lt;&gt;".",MOD(R49+Q50+Q51,2),".")</f>
        <v>0</v>
      </c>
      <c r="R52" s="11" t="n">
        <f aca="false">IF(R50&lt;&gt;".",MOD(S49+R50+R51,2),".")</f>
        <v>1</v>
      </c>
      <c r="S52" s="11" t="n">
        <f aca="false">IF(S50&lt;&gt;".",MOD(T49+S50+S51,2),".")</f>
        <v>1</v>
      </c>
      <c r="T52" s="11" t="n">
        <f aca="false">IF(T50&lt;&gt;".",MOD(U49+T50+T51,2),".")</f>
        <v>1</v>
      </c>
      <c r="U52" s="11" t="str">
        <f aca="false">IF(U50&lt;&gt;".",MOD(V49+U50+U51,2),".")</f>
        <v>.</v>
      </c>
      <c r="V52" s="11" t="n">
        <f aca="false">IF(V50&lt;&gt;".",MOD(W49+V50+V51,2),".")</f>
        <v>1</v>
      </c>
      <c r="W52" s="11" t="n">
        <f aca="false">IF(W50&lt;&gt;".",MOD(X49+W50+W51,2),".")</f>
        <v>1</v>
      </c>
      <c r="X52" s="11" t="n">
        <f aca="false">IF(X50&lt;&gt;".",MOD(Y49+X50+X51,2),".")</f>
        <v>0</v>
      </c>
      <c r="Y52" s="11" t="n">
        <f aca="false">IF(Y50&lt;&gt;".",MOD(Z49+Y50+Y51,2),".")</f>
        <v>1</v>
      </c>
      <c r="Z52" s="2" t="s">
        <v>54</v>
      </c>
      <c r="AA52" s="0" t="n">
        <f aca="false">IF(G52=0,_xlfn.DECIMAL(G52&amp;H52&amp;I52&amp;J52&amp;L52&amp;M52&amp;N52&amp;O52&amp;Q52&amp;R52&amp;S52&amp;T52&amp;V52&amp;W52&amp;X52&amp;Y52,2),0-_xlfn.DECIMAL(G58&amp;H58&amp;I58&amp;J58&amp;L58&amp;M58&amp;N58&amp;O58&amp;Q58&amp;R58&amp;S58&amp;T58&amp;V58&amp;W58&amp;X58&amp;Y58,2))</f>
        <v>24445</v>
      </c>
      <c r="AD52" s="12" t="n">
        <f aca="false">AD50+AD51</f>
        <v>24445</v>
      </c>
    </row>
    <row r="55" customFormat="false" ht="12.8" hidden="false" customHeight="false" outlineLevel="0" collapsed="false">
      <c r="F55" s="0" t="s">
        <v>55</v>
      </c>
      <c r="G55" s="10" t="n">
        <f aca="false">IF(G56&lt;&gt;".",IF(G56+G57&lt;&gt;0,IF(G56+G57+H55=3,1,MOD(G56+G57+H55-1,2)),0),H55)</f>
        <v>0</v>
      </c>
      <c r="H55" s="10" t="n">
        <f aca="false">IF(H56&lt;&gt;".",IF(H56+H57&lt;&gt;0,IF(H56+H57+I55=3,1,MOD(H56+H57+I55-1,2)),0),I55)</f>
        <v>0</v>
      </c>
      <c r="I55" s="10" t="n">
        <f aca="false">IF(I56&lt;&gt;".",IF(I56+I57&lt;&gt;0,IF(I56+I57+J55=3,1,MOD(I56+I57+J55-1,2)),0),J55)</f>
        <v>0</v>
      </c>
      <c r="J55" s="10" t="n">
        <f aca="false">IF(J56&lt;&gt;".",IF(J56+J57&lt;&gt;0,IF(J56+J57+K55=3,1,MOD(J56+J57+K55-1,2)),0),K55)</f>
        <v>0</v>
      </c>
      <c r="K55" s="10" t="n">
        <f aca="false">IF(K56&lt;&gt;".",IF(K56+K57&lt;&gt;0,IF(K56+K57+L55=3,1,MOD(K56+K57+L55-1,2)),0),L55)</f>
        <v>0</v>
      </c>
      <c r="L55" s="10" t="n">
        <f aca="false">IF(L56&lt;&gt;".",IF(L56+L57&lt;&gt;0,IF(L56+L57+M55=3,1,MOD(L56+L57+M55-1,2)),0),M55)</f>
        <v>0</v>
      </c>
      <c r="M55" s="10" t="n">
        <f aca="false">IF(M56&lt;&gt;".",IF(M56+M57&lt;&gt;0,IF(M56+M57+N55=3,1,MOD(M56+M57+N55-1,2)),0),N55)</f>
        <v>0</v>
      </c>
      <c r="N55" s="10" t="n">
        <f aca="false">IF(N56&lt;&gt;".",IF(N56+N57&lt;&gt;0,IF(N56+N57+O55=3,1,MOD(N56+N57+O55-1,2)),0),O55)</f>
        <v>0</v>
      </c>
      <c r="O55" s="10" t="n">
        <f aca="false">IF(O56&lt;&gt;".",IF(O56+O57&lt;&gt;0,IF(O56+O57+P55=3,1,MOD(O56+O57+P55-1,2)),0),P55)</f>
        <v>0</v>
      </c>
      <c r="P55" s="10" t="n">
        <f aca="false">IF(P56&lt;&gt;".",IF(P56+P57&lt;&gt;0,IF(P56+P57+Q55=3,1,MOD(P56+P57+Q55-1,2)),0),Q55)</f>
        <v>0</v>
      </c>
      <c r="Q55" s="10" t="n">
        <f aca="false">IF(Q56&lt;&gt;".",IF(Q56+Q57&lt;&gt;0,IF(Q56+Q57+R55=3,1,MOD(Q56+Q57+R55-1,2)),0),R55)</f>
        <v>0</v>
      </c>
      <c r="R55" s="10" t="n">
        <f aca="false">IF(R56&lt;&gt;".",IF(R56+R57&lt;&gt;0,IF(R56+R57+S55=3,1,MOD(R56+R57+S55-1,2)),0),S55)</f>
        <v>0</v>
      </c>
      <c r="S55" s="10" t="n">
        <f aca="false">IF(S56&lt;&gt;".",IF(S56+S57&lt;&gt;0,IF(S56+S57+T55=3,1,MOD(S56+S57+T55-1,2)),0),T55)</f>
        <v>0</v>
      </c>
      <c r="T55" s="10" t="n">
        <f aca="false">IF(T56&lt;&gt;".",IF(T56+T57&lt;&gt;0,IF(T56+T57+U55=3,1,MOD(T56+T57+U55-1,2)),0),U55)</f>
        <v>0</v>
      </c>
      <c r="U55" s="10" t="n">
        <f aca="false">IF(U56&lt;&gt;".",IF(U56+U57&lt;&gt;0,IF(U56+U57+V55=3,1,MOD(U56+U57+V55-1,2)),0),V55)</f>
        <v>0</v>
      </c>
      <c r="V55" s="10" t="n">
        <f aca="false">IF(V56&lt;&gt;".",IF(V56+V57&lt;&gt;0,IF(V56+V57+W55=3,1,MOD(V56+V57+W55-1,2)),0),W55)</f>
        <v>0</v>
      </c>
      <c r="W55" s="10" t="n">
        <f aca="false">IF(W56&lt;&gt;".",IF(W56+W57&lt;&gt;0,IF(W56+W57+X55=3,1,MOD(W56+W57+X55-1,2)),0),X55)</f>
        <v>0</v>
      </c>
      <c r="X55" s="10" t="n">
        <f aca="false">IF(X56&lt;&gt;".",IF(X56+X57&lt;&gt;0,IF(X56+X57+Y55=3,1,MOD(X56+X57+Y55-1,2)),0),Y55)</f>
        <v>0</v>
      </c>
      <c r="Y55" s="10" t="n">
        <f aca="false">IF(Y56&lt;&gt;".",IF(Y56+Y57&lt;&gt;0,IF(Y56+Y57+Z55=3,1,MOD(Y56+Y57+Z55-1,2)),0),Z55)</f>
        <v>0</v>
      </c>
      <c r="AA55" s="0" t="str">
        <f aca="false">IF(AND(AA53=AD53,T61=1),$AC$4,IF(AND(AA53=AD53,T61=0),$AC$3,IF(AND(G51+1-1=0,G52+1-1=0),$AC$5,$AC$6)))</f>
        <v>Результат корректен.</v>
      </c>
    </row>
    <row r="56" customFormat="false" ht="12.8" hidden="false" customHeight="false" outlineLevel="0" collapsed="false">
      <c r="F56" s="0" t="s">
        <v>56</v>
      </c>
      <c r="G56" s="2" t="n">
        <f aca="false">IF(G52&lt;&gt;".",MOD(G52+1,2),".")</f>
        <v>1</v>
      </c>
      <c r="H56" s="2" t="n">
        <f aca="false">IF(H52&lt;&gt;".",MOD(H52+1,2),".")</f>
        <v>0</v>
      </c>
      <c r="I56" s="2" t="n">
        <f aca="false">IF(I52&lt;&gt;".",MOD(I52+1,2),".")</f>
        <v>1</v>
      </c>
      <c r="J56" s="2" t="n">
        <f aca="false">IF(J52&lt;&gt;".",MOD(J52+1,2),".")</f>
        <v>0</v>
      </c>
      <c r="K56" s="2" t="str">
        <f aca="false">IF(K52&lt;&gt;".",MOD(K52+1,2),".")</f>
        <v>.</v>
      </c>
      <c r="L56" s="2" t="n">
        <f aca="false">IF(L52&lt;&gt;".",MOD(L52+1,2),".")</f>
        <v>0</v>
      </c>
      <c r="M56" s="2" t="n">
        <f aca="false">IF(M52&lt;&gt;".",MOD(M52+1,2),".")</f>
        <v>0</v>
      </c>
      <c r="N56" s="2" t="n">
        <f aca="false">IF(N52&lt;&gt;".",MOD(N52+1,2),".")</f>
        <v>0</v>
      </c>
      <c r="O56" s="2" t="n">
        <f aca="false">IF(O52&lt;&gt;".",MOD(O52+1,2),".")</f>
        <v>0</v>
      </c>
      <c r="P56" s="2" t="str">
        <f aca="false">IF(P52&lt;&gt;".",MOD(P52+1,2),".")</f>
        <v>.</v>
      </c>
      <c r="Q56" s="2" t="n">
        <f aca="false">IF(Q52&lt;&gt;".",MOD(Q52+1,2),".")</f>
        <v>1</v>
      </c>
      <c r="R56" s="2" t="n">
        <f aca="false">IF(R52&lt;&gt;".",MOD(R52+1,2),".")</f>
        <v>0</v>
      </c>
      <c r="S56" s="2" t="n">
        <f aca="false">IF(S52&lt;&gt;".",MOD(S52+1,2),".")</f>
        <v>0</v>
      </c>
      <c r="T56" s="2" t="n">
        <f aca="false">IF(T52&lt;&gt;".",MOD(T52+1,2),".")</f>
        <v>0</v>
      </c>
      <c r="U56" s="2" t="str">
        <f aca="false">IF(U52&lt;&gt;".",MOD(U52+1,2),".")</f>
        <v>.</v>
      </c>
      <c r="V56" s="2" t="n">
        <f aca="false">IF(V52&lt;&gt;".",MOD(V52+1,2),".")</f>
        <v>0</v>
      </c>
      <c r="W56" s="2" t="n">
        <f aca="false">IF(W52&lt;&gt;".",MOD(W52+1,2),".")</f>
        <v>0</v>
      </c>
      <c r="X56" s="2" t="n">
        <f aca="false">IF(X52&lt;&gt;".",MOD(X52+1,2),".")</f>
        <v>1</v>
      </c>
      <c r="Y56" s="2" t="n">
        <f aca="false">IF(Y52&lt;&gt;".",MOD(Y52+1,2),".")</f>
        <v>0</v>
      </c>
    </row>
    <row r="57" customFormat="false" ht="12.8" hidden="false" customHeight="false" outlineLevel="0" collapsed="false">
      <c r="F57" s="0" t="s">
        <v>57</v>
      </c>
      <c r="G57" s="2" t="n">
        <v>0</v>
      </c>
      <c r="H57" s="2" t="n">
        <v>0</v>
      </c>
      <c r="I57" s="2" t="n">
        <v>0</v>
      </c>
      <c r="J57" s="2" t="n">
        <v>0</v>
      </c>
      <c r="K57" s="2" t="s">
        <v>58</v>
      </c>
      <c r="L57" s="2" t="n">
        <v>0</v>
      </c>
      <c r="M57" s="2" t="n">
        <v>0</v>
      </c>
      <c r="N57" s="2" t="n">
        <v>0</v>
      </c>
      <c r="O57" s="2" t="n">
        <v>0</v>
      </c>
      <c r="P57" s="2" t="s">
        <v>58</v>
      </c>
      <c r="Q57" s="2" t="n">
        <v>0</v>
      </c>
      <c r="R57" s="2" t="n">
        <v>0</v>
      </c>
      <c r="S57" s="2" t="n">
        <v>0</v>
      </c>
      <c r="T57" s="2" t="n">
        <v>0</v>
      </c>
      <c r="U57" s="2" t="s">
        <v>58</v>
      </c>
      <c r="V57" s="2" t="n">
        <v>0</v>
      </c>
      <c r="W57" s="2" t="n">
        <v>0</v>
      </c>
      <c r="X57" s="2" t="n">
        <v>0</v>
      </c>
      <c r="Y57" s="2" t="n">
        <v>1</v>
      </c>
    </row>
    <row r="58" customFormat="false" ht="12.8" hidden="false" customHeight="false" outlineLevel="0" collapsed="false">
      <c r="G58" s="11" t="n">
        <f aca="false">IF(G56&lt;&gt;".",MOD(H55+G56+G57,2),".")</f>
        <v>1</v>
      </c>
      <c r="H58" s="11" t="n">
        <f aca="false">IF(H56&lt;&gt;".",MOD(I55+H56+H57,2),".")</f>
        <v>0</v>
      </c>
      <c r="I58" s="11" t="n">
        <f aca="false">IF(I56&lt;&gt;".",MOD(J55+I56+I57,2),".")</f>
        <v>1</v>
      </c>
      <c r="J58" s="11" t="n">
        <f aca="false">IF(J56&lt;&gt;".",MOD(K55+J56+J57,2),".")</f>
        <v>0</v>
      </c>
      <c r="K58" s="11" t="str">
        <f aca="false">IF(K56&lt;&gt;".",MOD(L55+K56+K57,2),".")</f>
        <v>.</v>
      </c>
      <c r="L58" s="11" t="n">
        <f aca="false">IF(L56&lt;&gt;".",MOD(M55+L56+L57,2),".")</f>
        <v>0</v>
      </c>
      <c r="M58" s="11" t="n">
        <f aca="false">IF(M56&lt;&gt;".",MOD(N55+M56+M57,2),".")</f>
        <v>0</v>
      </c>
      <c r="N58" s="11" t="n">
        <f aca="false">IF(N56&lt;&gt;".",MOD(O55+N56+N57,2),".")</f>
        <v>0</v>
      </c>
      <c r="O58" s="11" t="n">
        <f aca="false">IF(O56&lt;&gt;".",MOD(P55+O56+O57,2),".")</f>
        <v>0</v>
      </c>
      <c r="P58" s="11" t="str">
        <f aca="false">IF(P56&lt;&gt;".",MOD(Q55+P56+P57,2),".")</f>
        <v>.</v>
      </c>
      <c r="Q58" s="11" t="n">
        <f aca="false">IF(Q56&lt;&gt;".",MOD(R55+Q56+Q57,2),".")</f>
        <v>1</v>
      </c>
      <c r="R58" s="11" t="n">
        <f aca="false">IF(R56&lt;&gt;".",MOD(S55+R56+R57,2),".")</f>
        <v>0</v>
      </c>
      <c r="S58" s="11" t="n">
        <f aca="false">IF(S56&lt;&gt;".",MOD(T55+S56+S57,2),".")</f>
        <v>0</v>
      </c>
      <c r="T58" s="11" t="n">
        <f aca="false">IF(T56&lt;&gt;".",MOD(U55+T56+T57,2),".")</f>
        <v>0</v>
      </c>
      <c r="U58" s="11" t="str">
        <f aca="false">IF(U56&lt;&gt;".",MOD(V55+U56+U57,2),".")</f>
        <v>.</v>
      </c>
      <c r="V58" s="11" t="n">
        <f aca="false">IF(V56&lt;&gt;".",MOD(W55+V56+V57,2),".")</f>
        <v>0</v>
      </c>
      <c r="W58" s="11" t="n">
        <f aca="false">IF(W56&lt;&gt;".",MOD(X55+W56+W57,2),".")</f>
        <v>0</v>
      </c>
      <c r="X58" s="11" t="n">
        <f aca="false">IF(X56&lt;&gt;".",MOD(Y55+X56+X57,2),".")</f>
        <v>1</v>
      </c>
      <c r="Y58" s="11" t="n">
        <f aca="false">IF(Y56&lt;&gt;".",MOD(Z55+Y56+Y57,2),".")</f>
        <v>1</v>
      </c>
    </row>
    <row r="60" customFormat="false" ht="12.8" hidden="false" customHeight="false" outlineLevel="0" collapsed="false">
      <c r="G60" s="0" t="s">
        <v>59</v>
      </c>
      <c r="H60" s="13" t="n">
        <f aca="false">G52</f>
        <v>0</v>
      </c>
      <c r="J60" s="0" t="s">
        <v>60</v>
      </c>
      <c r="K60" s="13" t="n">
        <f aca="false">IF(AA52=0,0,1)</f>
        <v>1</v>
      </c>
      <c r="M60" s="0" t="s">
        <v>61</v>
      </c>
      <c r="N60" s="13" t="n">
        <f aca="false">MOD(SUM(Q58:T58)+SUM(V58:Y58)+1,2)</f>
        <v>0</v>
      </c>
      <c r="P60" s="0" t="s">
        <v>62</v>
      </c>
      <c r="Q60" s="13" t="n">
        <f aca="false">U49</f>
        <v>1</v>
      </c>
      <c r="S60" s="0" t="s">
        <v>63</v>
      </c>
      <c r="T60" s="13" t="n">
        <f aca="false">G49</f>
        <v>1</v>
      </c>
      <c r="V60" s="0" t="s">
        <v>64</v>
      </c>
      <c r="W60" s="13" t="n">
        <f aca="false">MOD(G49+H49,2)</f>
        <v>0</v>
      </c>
    </row>
    <row r="63" customFormat="false" ht="12.8" hidden="false" customHeight="false" outlineLevel="0" collapsed="false">
      <c r="G63" s="10" t="n">
        <f aca="false">IF(G64&lt;&gt;".",IF(G64+G65&lt;&gt;0,IF(G64+G65+H63=3,1,MOD(G64+G65+H63-1,2)),0),H63)</f>
        <v>1</v>
      </c>
      <c r="H63" s="10" t="n">
        <f aca="false">IF(H64&lt;&gt;".",IF(H64+H65&lt;&gt;0,IF(H64+H65+I63=3,1,MOD(H64+H65+I63-1,2)),0),I63)</f>
        <v>1</v>
      </c>
      <c r="I63" s="10" t="n">
        <f aca="false">IF(I64&lt;&gt;".",IF(I64+I65&lt;&gt;0,IF(I64+I65+J63=3,1,MOD(I64+I65+J63-1,2)),0),J63)</f>
        <v>1</v>
      </c>
      <c r="J63" s="10" t="n">
        <f aca="false">IF(J64&lt;&gt;".",IF(J64+J65&lt;&gt;0,IF(J64+J65+K63=3,1,MOD(J64+J65+K63-1,2)),0),K63)</f>
        <v>1</v>
      </c>
      <c r="K63" s="10" t="n">
        <f aca="false">IF(K64&lt;&gt;".",IF(K64+K65&lt;&gt;0,IF(K64+K65+L63=3,1,MOD(K64+K65+L63-1,2)),0),L63)</f>
        <v>0</v>
      </c>
      <c r="L63" s="10" t="n">
        <f aca="false">IF(L64&lt;&gt;".",IF(L64+L65&lt;&gt;0,IF(L64+L65+M63=3,1,MOD(L64+L65+M63-1,2)),0),M63)</f>
        <v>0</v>
      </c>
      <c r="M63" s="10" t="n">
        <f aca="false">IF(M64&lt;&gt;".",IF(M64+M65&lt;&gt;0,IF(M64+M65+N63=3,1,MOD(M64+M65+N63-1,2)),0),N63)</f>
        <v>0</v>
      </c>
      <c r="N63" s="10" t="n">
        <f aca="false">IF(N64&lt;&gt;".",IF(N64+N65&lt;&gt;0,IF(N64+N65+O63=3,1,MOD(N64+N65+O63-1,2)),0),O63)</f>
        <v>1</v>
      </c>
      <c r="O63" s="10" t="n">
        <f aca="false">IF(O64&lt;&gt;".",IF(O64+O65&lt;&gt;0,IF(O64+O65+P63=3,1,MOD(O64+O65+P63-1,2)),0),P63)</f>
        <v>1</v>
      </c>
      <c r="P63" s="10" t="n">
        <f aca="false">IF(P64&lt;&gt;".",IF(P64+P65&lt;&gt;0,IF(P64+P65+Q63=3,1,MOD(P64+P65+Q63-1,2)),0),Q63)</f>
        <v>1</v>
      </c>
      <c r="Q63" s="10" t="n">
        <f aca="false">IF(Q64&lt;&gt;".",IF(Q64+Q65&lt;&gt;0,IF(Q64+Q65+R63=3,1,MOD(Q64+Q65+R63-1,2)),0),R63)</f>
        <v>1</v>
      </c>
      <c r="R63" s="10" t="n">
        <f aca="false">IF(R64&lt;&gt;".",IF(R64+R65&lt;&gt;0,IF(R64+R65+S63=3,1,MOD(R64+R65+S63-1,2)),0),S63)</f>
        <v>1</v>
      </c>
      <c r="S63" s="10" t="n">
        <f aca="false">IF(S64&lt;&gt;".",IF(S64+S65&lt;&gt;0,IF(S64+S65+T63=3,1,MOD(S64+S65+T63-1,2)),0),T63)</f>
        <v>1</v>
      </c>
      <c r="T63" s="10" t="n">
        <f aca="false">IF(T64&lt;&gt;".",IF(T64+T65&lt;&gt;0,IF(T64+T65+U63=3,1,MOD(T64+T65+U63-1,2)),0),U63)</f>
        <v>1</v>
      </c>
      <c r="U63" s="10" t="n">
        <f aca="false">IF(U64&lt;&gt;".",IF(U64+U65&lt;&gt;0,IF(U64+U65+V63=3,1,MOD(U64+U65+V63-1,2)),0),V63)</f>
        <v>1</v>
      </c>
      <c r="V63" s="10" t="n">
        <f aca="false">IF(V64&lt;&gt;".",IF(V64+V65&lt;&gt;0,IF(V64+V65+W63=3,1,MOD(V64+V65+W63-1,2)),0),W63)</f>
        <v>1</v>
      </c>
      <c r="W63" s="10" t="n">
        <f aca="false">IF(W64&lt;&gt;".",IF(W64+W65&lt;&gt;0,IF(W64+W65+X63=3,1,MOD(W64+W65+X63-1,2)),0),X63)</f>
        <v>1</v>
      </c>
      <c r="X63" s="10" t="n">
        <f aca="false">IF(X64&lt;&gt;".",IF(X64+X65&lt;&gt;0,IF(X64+X65+Y63=3,1,MOD(X64+X65+Y63-1,2)),0),Y63)</f>
        <v>1</v>
      </c>
      <c r="Y63" s="10" t="n">
        <f aca="false">IF(Y64&lt;&gt;".",IF(Y64+Y65&lt;&gt;0,IF(Y64+Y65+Z63=3,1,MOD(Y64+Y65+Z63-1,2)),0),Z63)</f>
        <v>0</v>
      </c>
    </row>
    <row r="64" customFormat="false" ht="12.8" hidden="false" customHeight="false" outlineLevel="0" collapsed="false">
      <c r="F64" s="14" t="s">
        <v>67</v>
      </c>
      <c r="G64" s="2" t="str">
        <f aca="false">G14</f>
        <v>1</v>
      </c>
      <c r="H64" s="2" t="str">
        <f aca="false">H14</f>
        <v>1</v>
      </c>
      <c r="I64" s="2" t="str">
        <f aca="false">I14</f>
        <v>1</v>
      </c>
      <c r="J64" s="2" t="str">
        <f aca="false">J14</f>
        <v>1</v>
      </c>
      <c r="K64" s="2" t="str">
        <f aca="false">K14</f>
        <v>.</v>
      </c>
      <c r="L64" s="2" t="str">
        <f aca="false">L14</f>
        <v>0</v>
      </c>
      <c r="M64" s="2" t="str">
        <f aca="false">M14</f>
        <v>0</v>
      </c>
      <c r="N64" s="2" t="str">
        <f aca="false">N14</f>
        <v>0</v>
      </c>
      <c r="O64" s="2" t="str">
        <f aca="false">O14</f>
        <v>1</v>
      </c>
      <c r="P64" s="2" t="str">
        <f aca="false">P14</f>
        <v>.</v>
      </c>
      <c r="Q64" s="2" t="str">
        <f aca="false">Q14</f>
        <v>1</v>
      </c>
      <c r="R64" s="2" t="str">
        <f aca="false">R14</f>
        <v>1</v>
      </c>
      <c r="S64" s="2" t="str">
        <f aca="false">S14</f>
        <v>0</v>
      </c>
      <c r="T64" s="2" t="str">
        <f aca="false">T14</f>
        <v>1</v>
      </c>
      <c r="U64" s="2" t="str">
        <f aca="false">U14</f>
        <v>.</v>
      </c>
      <c r="V64" s="2" t="str">
        <f aca="false">V14</f>
        <v>1</v>
      </c>
      <c r="W64" s="2" t="str">
        <f aca="false">W14</f>
        <v>1</v>
      </c>
      <c r="X64" s="2" t="str">
        <f aca="false">X14</f>
        <v>1</v>
      </c>
      <c r="Y64" s="2" t="str">
        <f aca="false">Y14</f>
        <v>1</v>
      </c>
      <c r="AC64" s="0" t="s">
        <v>68</v>
      </c>
      <c r="AD64" s="5" t="n">
        <f aca="false">C14</f>
        <v>-3617</v>
      </c>
    </row>
    <row r="65" customFormat="false" ht="12.8" hidden="false" customHeight="false" outlineLevel="0" collapsed="false">
      <c r="E65" s="3" t="s">
        <v>50</v>
      </c>
      <c r="F65" s="0" t="s">
        <v>69</v>
      </c>
      <c r="G65" s="2" t="str">
        <f aca="false">G15</f>
        <v>1</v>
      </c>
      <c r="H65" s="2" t="str">
        <f aca="false">H15</f>
        <v>0</v>
      </c>
      <c r="I65" s="2" t="str">
        <f aca="false">I15</f>
        <v>0</v>
      </c>
      <c r="J65" s="2" t="str">
        <f aca="false">J15</f>
        <v>1</v>
      </c>
      <c r="K65" s="2" t="str">
        <f aca="false">K15</f>
        <v>.</v>
      </c>
      <c r="L65" s="2" t="str">
        <f aca="false">L15</f>
        <v>0</v>
      </c>
      <c r="M65" s="2" t="str">
        <f aca="false">M15</f>
        <v>0</v>
      </c>
      <c r="N65" s="2" t="str">
        <f aca="false">N15</f>
        <v>1</v>
      </c>
      <c r="O65" s="2" t="str">
        <f aca="false">O15</f>
        <v>0</v>
      </c>
      <c r="P65" s="2" t="str">
        <f aca="false">P15</f>
        <v>.</v>
      </c>
      <c r="Q65" s="2" t="str">
        <f aca="false">Q15</f>
        <v>0</v>
      </c>
      <c r="R65" s="2" t="str">
        <f aca="false">R15</f>
        <v>1</v>
      </c>
      <c r="S65" s="2" t="str">
        <f aca="false">S15</f>
        <v>1</v>
      </c>
      <c r="T65" s="2" t="str">
        <f aca="false">T15</f>
        <v>0</v>
      </c>
      <c r="U65" s="2" t="str">
        <f aca="false">U15</f>
        <v>.</v>
      </c>
      <c r="V65" s="2" t="str">
        <f aca="false">V15</f>
        <v>0</v>
      </c>
      <c r="W65" s="2" t="str">
        <f aca="false">W15</f>
        <v>0</v>
      </c>
      <c r="X65" s="2" t="str">
        <f aca="false">X15</f>
        <v>1</v>
      </c>
      <c r="Y65" s="2" t="str">
        <f aca="false">Y15</f>
        <v>0</v>
      </c>
      <c r="AA65" s="0" t="s">
        <v>52</v>
      </c>
      <c r="AB65" s="3" t="s">
        <v>50</v>
      </c>
      <c r="AC65" s="0" t="s">
        <v>70</v>
      </c>
      <c r="AD65" s="5" t="n">
        <f aca="false">C15</f>
        <v>-28062</v>
      </c>
    </row>
    <row r="66" customFormat="false" ht="12.8" hidden="false" customHeight="false" outlineLevel="0" collapsed="false">
      <c r="G66" s="11" t="n">
        <f aca="false">IF(G64&lt;&gt;".",MOD(H63+G64+G65,2),".")</f>
        <v>1</v>
      </c>
      <c r="H66" s="11" t="n">
        <f aca="false">IF(H64&lt;&gt;".",MOD(I63+H64+H65,2),".")</f>
        <v>0</v>
      </c>
      <c r="I66" s="11" t="n">
        <f aca="false">IF(I64&lt;&gt;".",MOD(J63+I64+I65,2),".")</f>
        <v>0</v>
      </c>
      <c r="J66" s="11" t="n">
        <f aca="false">IF(J64&lt;&gt;".",MOD(K63+J64+J65,2),".")</f>
        <v>0</v>
      </c>
      <c r="K66" s="11" t="str">
        <f aca="false">IF(K64&lt;&gt;".",MOD(L63+K64+K65,2),".")</f>
        <v>.</v>
      </c>
      <c r="L66" s="11" t="n">
        <f aca="false">IF(L64&lt;&gt;".",MOD(M63+L64+L65,2),".")</f>
        <v>0</v>
      </c>
      <c r="M66" s="11" t="n">
        <f aca="false">IF(M64&lt;&gt;".",MOD(N63+M64+M65,2),".")</f>
        <v>1</v>
      </c>
      <c r="N66" s="11" t="n">
        <f aca="false">IF(N64&lt;&gt;".",MOD(O63+N64+N65,2),".")</f>
        <v>0</v>
      </c>
      <c r="O66" s="11" t="n">
        <f aca="false">IF(O64&lt;&gt;".",MOD(P63+O64+O65,2),".")</f>
        <v>0</v>
      </c>
      <c r="P66" s="11" t="str">
        <f aca="false">IF(P64&lt;&gt;".",MOD(Q63+P64+P65,2),".")</f>
        <v>.</v>
      </c>
      <c r="Q66" s="11" t="n">
        <f aca="false">IF(Q64&lt;&gt;".",MOD(R63+Q64+Q65,2),".")</f>
        <v>0</v>
      </c>
      <c r="R66" s="11" t="n">
        <f aca="false">IF(R64&lt;&gt;".",MOD(S63+R64+R65,2),".")</f>
        <v>1</v>
      </c>
      <c r="S66" s="11" t="n">
        <f aca="false">IF(S64&lt;&gt;".",MOD(T63+S64+S65,2),".")</f>
        <v>0</v>
      </c>
      <c r="T66" s="11" t="n">
        <f aca="false">IF(T64&lt;&gt;".",MOD(U63+T64+T65,2),".")</f>
        <v>0</v>
      </c>
      <c r="U66" s="11" t="str">
        <f aca="false">IF(U64&lt;&gt;".",MOD(V63+U64+U65,2),".")</f>
        <v>.</v>
      </c>
      <c r="V66" s="11" t="n">
        <f aca="false">IF(V64&lt;&gt;".",MOD(W63+V64+V65,2),".")</f>
        <v>0</v>
      </c>
      <c r="W66" s="11" t="n">
        <f aca="false">IF(W64&lt;&gt;".",MOD(X63+W64+W65,2),".")</f>
        <v>0</v>
      </c>
      <c r="X66" s="11" t="n">
        <f aca="false">IF(X64&lt;&gt;".",MOD(Y63+X64+X65,2),".")</f>
        <v>0</v>
      </c>
      <c r="Y66" s="11" t="n">
        <f aca="false">IF(Y64&lt;&gt;".",MOD(Z63+Y64+Y65,2),".")</f>
        <v>1</v>
      </c>
      <c r="Z66" s="2" t="s">
        <v>54</v>
      </c>
      <c r="AA66" s="0" t="n">
        <f aca="false">IF(G66=0,_xlfn.DECIMAL(G66&amp;H66&amp;I66&amp;J66&amp;L66&amp;M66&amp;N66&amp;O66&amp;Q66&amp;R66&amp;S66&amp;T66&amp;V66&amp;W66&amp;X66&amp;Y66,2),0-_xlfn.DECIMAL(G72&amp;H72&amp;I72&amp;J72&amp;L72&amp;M72&amp;N72&amp;O72&amp;Q72&amp;R72&amp;S72&amp;T72&amp;V72&amp;W72&amp;X72&amp;Y72,2))</f>
        <v>-31679</v>
      </c>
      <c r="AD66" s="12" t="n">
        <f aca="false">AD64+AD65</f>
        <v>-31679</v>
      </c>
    </row>
    <row r="68" customFormat="false" ht="12.8" hidden="false" customHeight="false" outlineLevel="0" collapsed="false">
      <c r="AA68" s="0" t="str">
        <f aca="false">IF(AND(AA66=AD66,T74=1),$AC$4,IF(AND(AA66=AD66,T74=0),$AC$3,IF(AND(G64+1-1=0,G65+1-1=0),$AC$5,$AC$6)))</f>
        <v>Результат корректен. Перенос из старшего разряда не учитывается.</v>
      </c>
    </row>
    <row r="69" customFormat="false" ht="12.8" hidden="false" customHeight="false" outlineLevel="0" collapsed="false">
      <c r="F69" s="0" t="s">
        <v>55</v>
      </c>
      <c r="G69" s="10" t="n">
        <f aca="false">IF(G70&lt;&gt;".",IF(G70+G71&lt;&gt;0,IF(G70+G71+H69=3,1,MOD(G70+G71+H69-1,2)),0),H69)</f>
        <v>0</v>
      </c>
      <c r="H69" s="10" t="n">
        <f aca="false">IF(H70&lt;&gt;".",IF(H70+H71&lt;&gt;0,IF(H70+H71+I69=3,1,MOD(H70+H71+I69-1,2)),0),I69)</f>
        <v>0</v>
      </c>
      <c r="I69" s="10" t="n">
        <f aca="false">IF(I70&lt;&gt;".",IF(I70+I71&lt;&gt;0,IF(I70+I71+J69=3,1,MOD(I70+I71+J69-1,2)),0),J69)</f>
        <v>0</v>
      </c>
      <c r="J69" s="10" t="n">
        <f aca="false">IF(J70&lt;&gt;".",IF(J70+J71&lt;&gt;0,IF(J70+J71+K69=3,1,MOD(J70+J71+K69-1,2)),0),K69)</f>
        <v>0</v>
      </c>
      <c r="K69" s="10" t="n">
        <f aca="false">IF(K70&lt;&gt;".",IF(K70+K71&lt;&gt;0,IF(K70+K71+L69=3,1,MOD(K70+K71+L69-1,2)),0),L69)</f>
        <v>0</v>
      </c>
      <c r="L69" s="10" t="n">
        <f aca="false">IF(L70&lt;&gt;".",IF(L70+L71&lt;&gt;0,IF(L70+L71+M69=3,1,MOD(L70+L71+M69-1,2)),0),M69)</f>
        <v>0</v>
      </c>
      <c r="M69" s="10" t="n">
        <f aca="false">IF(M70&lt;&gt;".",IF(M70+M71&lt;&gt;0,IF(M70+M71+N69=3,1,MOD(M70+M71+N69-1,2)),0),N69)</f>
        <v>0</v>
      </c>
      <c r="N69" s="10" t="n">
        <f aca="false">IF(N70&lt;&gt;".",IF(N70+N71&lt;&gt;0,IF(N70+N71+O69=3,1,MOD(N70+N71+O69-1,2)),0),O69)</f>
        <v>0</v>
      </c>
      <c r="O69" s="10" t="n">
        <f aca="false">IF(O70&lt;&gt;".",IF(O70+O71&lt;&gt;0,IF(O70+O71+P69=3,1,MOD(O70+O71+P69-1,2)),0),P69)</f>
        <v>0</v>
      </c>
      <c r="P69" s="10" t="n">
        <f aca="false">IF(P70&lt;&gt;".",IF(P70+P71&lt;&gt;0,IF(P70+P71+Q69=3,1,MOD(P70+P71+Q69-1,2)),0),Q69)</f>
        <v>0</v>
      </c>
      <c r="Q69" s="10" t="n">
        <f aca="false">IF(Q70&lt;&gt;".",IF(Q70+Q71&lt;&gt;0,IF(Q70+Q71+R69=3,1,MOD(Q70+Q71+R69-1,2)),0),R69)</f>
        <v>0</v>
      </c>
      <c r="R69" s="10" t="n">
        <f aca="false">IF(R70&lt;&gt;".",IF(R70+R71&lt;&gt;0,IF(R70+R71+S69=3,1,MOD(R70+R71+S69-1,2)),0),S69)</f>
        <v>0</v>
      </c>
      <c r="S69" s="10" t="n">
        <f aca="false">IF(S70&lt;&gt;".",IF(S70+S71&lt;&gt;0,IF(S70+S71+T69=3,1,MOD(S70+S71+T69-1,2)),0),T69)</f>
        <v>0</v>
      </c>
      <c r="T69" s="10" t="n">
        <f aca="false">IF(T70&lt;&gt;".",IF(T70+T71&lt;&gt;0,IF(T70+T71+U69=3,1,MOD(T70+T71+U69-1,2)),0),U69)</f>
        <v>0</v>
      </c>
      <c r="U69" s="10" t="n">
        <f aca="false">IF(U70&lt;&gt;".",IF(U70+U71&lt;&gt;0,IF(U70+U71+V69=3,1,MOD(U70+U71+V69-1,2)),0),V69)</f>
        <v>0</v>
      </c>
      <c r="V69" s="10" t="n">
        <f aca="false">IF(V70&lt;&gt;".",IF(V70+V71&lt;&gt;0,IF(V70+V71+W69=3,1,MOD(V70+V71+W69-1,2)),0),W69)</f>
        <v>0</v>
      </c>
      <c r="W69" s="10" t="n">
        <f aca="false">IF(W70&lt;&gt;".",IF(W70+W71&lt;&gt;0,IF(W70+W71+X69=3,1,MOD(W70+W71+X69-1,2)),0),X69)</f>
        <v>0</v>
      </c>
      <c r="X69" s="10" t="n">
        <f aca="false">IF(X70&lt;&gt;".",IF(X70+X71&lt;&gt;0,IF(X70+X71+Y69=3,1,MOD(X70+X71+Y69-1,2)),0),Y69)</f>
        <v>0</v>
      </c>
      <c r="Y69" s="10" t="n">
        <f aca="false">IF(Y70&lt;&gt;".",IF(Y70+Y71&lt;&gt;0,IF(Y70+Y71+Z69=3,1,MOD(Y70+Y71+Z69-1,2)),0),Z69)</f>
        <v>0</v>
      </c>
    </row>
    <row r="70" customFormat="false" ht="12.8" hidden="false" customHeight="false" outlineLevel="0" collapsed="false">
      <c r="F70" s="0" t="s">
        <v>56</v>
      </c>
      <c r="G70" s="2" t="n">
        <f aca="false">IF(G66&lt;&gt;".",MOD(G66+1,2),".")</f>
        <v>0</v>
      </c>
      <c r="H70" s="2" t="n">
        <f aca="false">IF(H66&lt;&gt;".",MOD(H66+1,2),".")</f>
        <v>1</v>
      </c>
      <c r="I70" s="2" t="n">
        <f aca="false">IF(I66&lt;&gt;".",MOD(I66+1,2),".")</f>
        <v>1</v>
      </c>
      <c r="J70" s="2" t="n">
        <f aca="false">IF(J66&lt;&gt;".",MOD(J66+1,2),".")</f>
        <v>1</v>
      </c>
      <c r="K70" s="2" t="str">
        <f aca="false">IF(K66&lt;&gt;".",MOD(K66+1,2),".")</f>
        <v>.</v>
      </c>
      <c r="L70" s="2" t="n">
        <f aca="false">IF(L66&lt;&gt;".",MOD(L66+1,2),".")</f>
        <v>1</v>
      </c>
      <c r="M70" s="2" t="n">
        <f aca="false">IF(M66&lt;&gt;".",MOD(M66+1,2),".")</f>
        <v>0</v>
      </c>
      <c r="N70" s="2" t="n">
        <f aca="false">IF(N66&lt;&gt;".",MOD(N66+1,2),".")</f>
        <v>1</v>
      </c>
      <c r="O70" s="2" t="n">
        <f aca="false">IF(O66&lt;&gt;".",MOD(O66+1,2),".")</f>
        <v>1</v>
      </c>
      <c r="P70" s="2" t="str">
        <f aca="false">IF(P66&lt;&gt;".",MOD(P66+1,2),".")</f>
        <v>.</v>
      </c>
      <c r="Q70" s="2" t="n">
        <f aca="false">IF(Q66&lt;&gt;".",MOD(Q66+1,2),".")</f>
        <v>1</v>
      </c>
      <c r="R70" s="2" t="n">
        <f aca="false">IF(R66&lt;&gt;".",MOD(R66+1,2),".")</f>
        <v>0</v>
      </c>
      <c r="S70" s="2" t="n">
        <f aca="false">IF(S66&lt;&gt;".",MOD(S66+1,2),".")</f>
        <v>1</v>
      </c>
      <c r="T70" s="2" t="n">
        <f aca="false">IF(T66&lt;&gt;".",MOD(T66+1,2),".")</f>
        <v>1</v>
      </c>
      <c r="U70" s="2" t="str">
        <f aca="false">IF(U66&lt;&gt;".",MOD(U66+1,2),".")</f>
        <v>.</v>
      </c>
      <c r="V70" s="2" t="n">
        <f aca="false">IF(V66&lt;&gt;".",MOD(V66+1,2),".")</f>
        <v>1</v>
      </c>
      <c r="W70" s="2" t="n">
        <f aca="false">IF(W66&lt;&gt;".",MOD(W66+1,2),".")</f>
        <v>1</v>
      </c>
      <c r="X70" s="2" t="n">
        <f aca="false">IF(X66&lt;&gt;".",MOD(X66+1,2),".")</f>
        <v>1</v>
      </c>
      <c r="Y70" s="2" t="n">
        <f aca="false">IF(Y66&lt;&gt;".",MOD(Y66+1,2),".")</f>
        <v>0</v>
      </c>
    </row>
    <row r="71" customFormat="false" ht="12.8" hidden="false" customHeight="false" outlineLevel="0" collapsed="false">
      <c r="F71" s="0" t="s">
        <v>57</v>
      </c>
      <c r="G71" s="2" t="n">
        <v>0</v>
      </c>
      <c r="H71" s="2" t="n">
        <v>0</v>
      </c>
      <c r="I71" s="2" t="n">
        <v>0</v>
      </c>
      <c r="J71" s="2" t="n">
        <v>0</v>
      </c>
      <c r="K71" s="2" t="s">
        <v>58</v>
      </c>
      <c r="L71" s="2" t="n">
        <v>0</v>
      </c>
      <c r="M71" s="2" t="n">
        <v>0</v>
      </c>
      <c r="N71" s="2" t="n">
        <v>0</v>
      </c>
      <c r="O71" s="2" t="n">
        <v>0</v>
      </c>
      <c r="P71" s="2" t="s">
        <v>58</v>
      </c>
      <c r="Q71" s="2" t="n">
        <v>0</v>
      </c>
      <c r="R71" s="2" t="n">
        <v>0</v>
      </c>
      <c r="S71" s="2" t="n">
        <v>0</v>
      </c>
      <c r="T71" s="2" t="n">
        <v>0</v>
      </c>
      <c r="U71" s="2" t="s">
        <v>58</v>
      </c>
      <c r="V71" s="2" t="n">
        <v>0</v>
      </c>
      <c r="W71" s="2" t="n">
        <v>0</v>
      </c>
      <c r="X71" s="2" t="n">
        <v>0</v>
      </c>
      <c r="Y71" s="2" t="n">
        <v>1</v>
      </c>
    </row>
    <row r="72" customFormat="false" ht="12.8" hidden="false" customHeight="false" outlineLevel="0" collapsed="false">
      <c r="G72" s="11" t="n">
        <f aca="false">IF(G70&lt;&gt;".",MOD(H69+G70+G71,2),".")</f>
        <v>0</v>
      </c>
      <c r="H72" s="11" t="n">
        <f aca="false">IF(H70&lt;&gt;".",MOD(I69+H70+H71,2),".")</f>
        <v>1</v>
      </c>
      <c r="I72" s="11" t="n">
        <f aca="false">IF(I70&lt;&gt;".",MOD(J69+I70+I71,2),".")</f>
        <v>1</v>
      </c>
      <c r="J72" s="11" t="n">
        <f aca="false">IF(J70&lt;&gt;".",MOD(K69+J70+J71,2),".")</f>
        <v>1</v>
      </c>
      <c r="K72" s="11" t="str">
        <f aca="false">IF(K70&lt;&gt;".",MOD(L69+K70+K71,2),".")</f>
        <v>.</v>
      </c>
      <c r="L72" s="11" t="n">
        <f aca="false">IF(L70&lt;&gt;".",MOD(M69+L70+L71,2),".")</f>
        <v>1</v>
      </c>
      <c r="M72" s="11" t="n">
        <f aca="false">IF(M70&lt;&gt;".",MOD(N69+M70+M71,2),".")</f>
        <v>0</v>
      </c>
      <c r="N72" s="11" t="n">
        <f aca="false">IF(N70&lt;&gt;".",MOD(O69+N70+N71,2),".")</f>
        <v>1</v>
      </c>
      <c r="O72" s="11" t="n">
        <f aca="false">IF(O70&lt;&gt;".",MOD(P69+O70+O71,2),".")</f>
        <v>1</v>
      </c>
      <c r="P72" s="11" t="str">
        <f aca="false">IF(P70&lt;&gt;".",MOD(Q69+P70+P71,2),".")</f>
        <v>.</v>
      </c>
      <c r="Q72" s="11" t="n">
        <f aca="false">IF(Q70&lt;&gt;".",MOD(R69+Q70+Q71,2),".")</f>
        <v>1</v>
      </c>
      <c r="R72" s="11" t="n">
        <f aca="false">IF(R70&lt;&gt;".",MOD(S69+R70+R71,2),".")</f>
        <v>0</v>
      </c>
      <c r="S72" s="11" t="n">
        <f aca="false">IF(S70&lt;&gt;".",MOD(T69+S70+S71,2),".")</f>
        <v>1</v>
      </c>
      <c r="T72" s="11" t="n">
        <f aca="false">IF(T70&lt;&gt;".",MOD(U69+T70+T71,2),".")</f>
        <v>1</v>
      </c>
      <c r="U72" s="11" t="str">
        <f aca="false">IF(U70&lt;&gt;".",MOD(V69+U70+U71,2),".")</f>
        <v>.</v>
      </c>
      <c r="V72" s="11" t="n">
        <f aca="false">IF(V70&lt;&gt;".",MOD(W69+V70+V71,2),".")</f>
        <v>1</v>
      </c>
      <c r="W72" s="11" t="n">
        <f aca="false">IF(W70&lt;&gt;".",MOD(X69+W70+W71,2),".")</f>
        <v>1</v>
      </c>
      <c r="X72" s="11" t="n">
        <f aca="false">IF(X70&lt;&gt;".",MOD(Y69+X70+X71,2),".")</f>
        <v>1</v>
      </c>
      <c r="Y72" s="11" t="n">
        <f aca="false">IF(Y70&lt;&gt;".",MOD(Z69+Y70+Y71,2),".")</f>
        <v>1</v>
      </c>
    </row>
    <row r="74" customFormat="false" ht="12.8" hidden="false" customHeight="false" outlineLevel="0" collapsed="false">
      <c r="G74" s="0" t="s">
        <v>59</v>
      </c>
      <c r="H74" s="13" t="n">
        <f aca="false">G66</f>
        <v>1</v>
      </c>
      <c r="J74" s="0" t="s">
        <v>60</v>
      </c>
      <c r="K74" s="13" t="n">
        <f aca="false">IF(AA66=0,0,1)</f>
        <v>1</v>
      </c>
      <c r="M74" s="0" t="s">
        <v>61</v>
      </c>
      <c r="N74" s="13" t="n">
        <f aca="false">MOD(SUM(Q72:T72)+SUM(V72:Y72)+1,2)</f>
        <v>0</v>
      </c>
      <c r="P74" s="0" t="s">
        <v>62</v>
      </c>
      <c r="Q74" s="13" t="n">
        <f aca="false">U63</f>
        <v>1</v>
      </c>
      <c r="S74" s="0" t="s">
        <v>63</v>
      </c>
      <c r="T74" s="13" t="n">
        <f aca="false">G63</f>
        <v>1</v>
      </c>
      <c r="V74" s="0" t="s">
        <v>64</v>
      </c>
      <c r="W74" s="13" t="n">
        <f aca="false">MOD(G63+H63,2)</f>
        <v>0</v>
      </c>
    </row>
    <row r="77" customFormat="false" ht="12.8" hidden="false" customHeight="false" outlineLevel="0" collapsed="false">
      <c r="G77" s="10" t="n">
        <f aca="false">IF(G78&lt;&gt;".",IF(G78+G79&lt;&gt;0,IF(G78+G79+H77=3,1,MOD(G78+G79+H77-1,2)),0),H77)</f>
        <v>1</v>
      </c>
      <c r="H77" s="10" t="n">
        <f aca="false">IF(H78&lt;&gt;".",IF(H78+H79&lt;&gt;0,IF(H78+H79+I77=3,1,MOD(H78+H79+I77-1,2)),0),I77)</f>
        <v>0</v>
      </c>
      <c r="I77" s="10" t="n">
        <f aca="false">IF(I78&lt;&gt;".",IF(I78+I79&lt;&gt;0,IF(I78+I79+J77=3,1,MOD(I78+I79+J77-1,2)),0),J77)</f>
        <v>0</v>
      </c>
      <c r="J77" s="10" t="n">
        <f aca="false">IF(J78&lt;&gt;".",IF(J78+J79&lt;&gt;0,IF(J78+J79+K77=3,1,MOD(J78+J79+K77-1,2)),0),K77)</f>
        <v>0</v>
      </c>
      <c r="K77" s="10" t="n">
        <f aca="false">IF(K78&lt;&gt;".",IF(K78+K79&lt;&gt;0,IF(K78+K79+L77=3,1,MOD(K78+K79+L77-1,2)),0),L77)</f>
        <v>0</v>
      </c>
      <c r="L77" s="10" t="n">
        <f aca="false">IF(L78&lt;&gt;".",IF(L78+L79&lt;&gt;0,IF(L78+L79+M77=3,1,MOD(L78+L79+M77-1,2)),0),M77)</f>
        <v>0</v>
      </c>
      <c r="M77" s="10" t="n">
        <f aca="false">IF(M78&lt;&gt;".",IF(M78+M79&lt;&gt;0,IF(M78+M79+N77=3,1,MOD(M78+M79+N77-1,2)),0),N77)</f>
        <v>0</v>
      </c>
      <c r="N77" s="10" t="n">
        <f aca="false">IF(N78&lt;&gt;".",IF(N78+N79&lt;&gt;0,IF(N78+N79+O77=3,1,MOD(N78+N79+O77-1,2)),0),O77)</f>
        <v>0</v>
      </c>
      <c r="O77" s="10" t="n">
        <f aca="false">IF(O78&lt;&gt;".",IF(O78+O79&lt;&gt;0,IF(O78+O79+P77=3,1,MOD(O78+O79+P77-1,2)),0),P77)</f>
        <v>0</v>
      </c>
      <c r="P77" s="10" t="n">
        <f aca="false">IF(P78&lt;&gt;".",IF(P78+P79&lt;&gt;0,IF(P78+P79+Q77=3,1,MOD(P78+P79+Q77-1,2)),0),Q77)</f>
        <v>0</v>
      </c>
      <c r="Q77" s="10" t="n">
        <f aca="false">IF(Q78&lt;&gt;".",IF(Q78+Q79&lt;&gt;0,IF(Q78+Q79+R77=3,1,MOD(Q78+Q79+R77-1,2)),0),R77)</f>
        <v>0</v>
      </c>
      <c r="R77" s="10" t="n">
        <f aca="false">IF(R78&lt;&gt;".",IF(R78+R79&lt;&gt;0,IF(R78+R79+S77=3,1,MOD(R78+R79+S77-1,2)),0),S77)</f>
        <v>1</v>
      </c>
      <c r="S77" s="10" t="n">
        <f aca="false">IF(S78&lt;&gt;".",IF(S78+S79&lt;&gt;0,IF(S78+S79+T77=3,1,MOD(S78+S79+T77-1,2)),0),T77)</f>
        <v>0</v>
      </c>
      <c r="T77" s="10" t="n">
        <f aca="false">IF(T78&lt;&gt;".",IF(T78+T79&lt;&gt;0,IF(T78+T79+U77=3,1,MOD(T78+T79+U77-1,2)),0),U77)</f>
        <v>0</v>
      </c>
      <c r="U77" s="10" t="n">
        <f aca="false">IF(U78&lt;&gt;".",IF(U78+U79&lt;&gt;0,IF(U78+U79+V77=3,1,MOD(U78+U79+V77-1,2)),0),V77)</f>
        <v>0</v>
      </c>
      <c r="V77" s="10" t="n">
        <f aca="false">IF(V78&lt;&gt;".",IF(V78+V79&lt;&gt;0,IF(V78+V79+W77=3,1,MOD(V78+V79+W77-1,2)),0),W77)</f>
        <v>0</v>
      </c>
      <c r="W77" s="10" t="n">
        <f aca="false">IF(W78&lt;&gt;".",IF(W78+W79&lt;&gt;0,IF(W78+W79+X77=3,1,MOD(W78+W79+X77-1,2)),0),X77)</f>
        <v>0</v>
      </c>
      <c r="X77" s="10" t="n">
        <f aca="false">IF(X78&lt;&gt;".",IF(X78+X79&lt;&gt;0,IF(X78+X79+Y77=3,1,MOD(X78+X79+Y77-1,2)),0),Y77)</f>
        <v>0</v>
      </c>
      <c r="Y77" s="10" t="n">
        <f aca="false">IF(Y78&lt;&gt;".",IF(Y78+Y79&lt;&gt;0,IF(Y78+Y79+Z77=3,1,MOD(Y78+Y79+Z77-1,2)),0),Z77)</f>
        <v>0</v>
      </c>
    </row>
    <row r="78" customFormat="false" ht="12.8" hidden="false" customHeight="false" outlineLevel="0" collapsed="false">
      <c r="F78" s="14" t="s">
        <v>71</v>
      </c>
      <c r="G78" s="2" t="str">
        <f aca="false">G16</f>
        <v>1</v>
      </c>
      <c r="H78" s="2" t="str">
        <f aca="false">H16</f>
        <v>0</v>
      </c>
      <c r="I78" s="2" t="str">
        <f aca="false">I16</f>
        <v>0</v>
      </c>
      <c r="J78" s="2" t="str">
        <f aca="false">J16</f>
        <v>0</v>
      </c>
      <c r="K78" s="2" t="str">
        <f aca="false">K16</f>
        <v>.</v>
      </c>
      <c r="L78" s="2" t="str">
        <f aca="false">L16</f>
        <v>0</v>
      </c>
      <c r="M78" s="2" t="str">
        <f aca="false">M16</f>
        <v>1</v>
      </c>
      <c r="N78" s="2" t="str">
        <f aca="false">N16</f>
        <v>0</v>
      </c>
      <c r="O78" s="2" t="str">
        <f aca="false">O16</f>
        <v>0</v>
      </c>
      <c r="P78" s="2" t="str">
        <f aca="false">P16</f>
        <v>.</v>
      </c>
      <c r="Q78" s="2" t="str">
        <f aca="false">Q16</f>
        <v>0</v>
      </c>
      <c r="R78" s="2" t="str">
        <f aca="false">R16</f>
        <v>1</v>
      </c>
      <c r="S78" s="2" t="str">
        <f aca="false">S16</f>
        <v>0</v>
      </c>
      <c r="T78" s="2" t="str">
        <f aca="false">T16</f>
        <v>0</v>
      </c>
      <c r="U78" s="2" t="str">
        <f aca="false">U16</f>
        <v>.</v>
      </c>
      <c r="V78" s="2" t="str">
        <f aca="false">V16</f>
        <v>0</v>
      </c>
      <c r="W78" s="2" t="str">
        <f aca="false">W16</f>
        <v>0</v>
      </c>
      <c r="X78" s="2" t="str">
        <f aca="false">X16</f>
        <v>0</v>
      </c>
      <c r="Y78" s="2" t="str">
        <f aca="false">Y16</f>
        <v>1</v>
      </c>
      <c r="AC78" s="0" t="s">
        <v>72</v>
      </c>
      <c r="AD78" s="5" t="n">
        <f aca="false">C16</f>
        <v>-31679</v>
      </c>
    </row>
    <row r="79" customFormat="false" ht="12.8" hidden="false" customHeight="false" outlineLevel="0" collapsed="false">
      <c r="E79" s="3" t="s">
        <v>50</v>
      </c>
      <c r="F79" s="0" t="s">
        <v>69</v>
      </c>
      <c r="G79" s="2" t="str">
        <f aca="false">G15</f>
        <v>1</v>
      </c>
      <c r="H79" s="2" t="str">
        <f aca="false">H15</f>
        <v>0</v>
      </c>
      <c r="I79" s="2" t="str">
        <f aca="false">I15</f>
        <v>0</v>
      </c>
      <c r="J79" s="2" t="str">
        <f aca="false">J15</f>
        <v>1</v>
      </c>
      <c r="K79" s="2" t="str">
        <f aca="false">K15</f>
        <v>.</v>
      </c>
      <c r="L79" s="2" t="str">
        <f aca="false">L15</f>
        <v>0</v>
      </c>
      <c r="M79" s="2" t="str">
        <f aca="false">M15</f>
        <v>0</v>
      </c>
      <c r="N79" s="2" t="str">
        <f aca="false">N15</f>
        <v>1</v>
      </c>
      <c r="O79" s="2" t="str">
        <f aca="false">O15</f>
        <v>0</v>
      </c>
      <c r="P79" s="2" t="str">
        <f aca="false">P15</f>
        <v>.</v>
      </c>
      <c r="Q79" s="2" t="str">
        <f aca="false">Q15</f>
        <v>0</v>
      </c>
      <c r="R79" s="2" t="str">
        <f aca="false">R15</f>
        <v>1</v>
      </c>
      <c r="S79" s="2" t="str">
        <f aca="false">S15</f>
        <v>1</v>
      </c>
      <c r="T79" s="2" t="str">
        <f aca="false">T15</f>
        <v>0</v>
      </c>
      <c r="U79" s="2" t="str">
        <f aca="false">U15</f>
        <v>.</v>
      </c>
      <c r="V79" s="2" t="str">
        <f aca="false">V15</f>
        <v>0</v>
      </c>
      <c r="W79" s="2" t="str">
        <f aca="false">W15</f>
        <v>0</v>
      </c>
      <c r="X79" s="2" t="str">
        <f aca="false">X15</f>
        <v>1</v>
      </c>
      <c r="Y79" s="2" t="str">
        <f aca="false">Y15</f>
        <v>0</v>
      </c>
      <c r="AA79" s="0" t="s">
        <v>52</v>
      </c>
      <c r="AB79" s="3" t="s">
        <v>50</v>
      </c>
      <c r="AC79" s="0" t="s">
        <v>70</v>
      </c>
      <c r="AD79" s="5" t="n">
        <f aca="false">C15</f>
        <v>-28062</v>
      </c>
    </row>
    <row r="80" customFormat="false" ht="12.8" hidden="false" customHeight="false" outlineLevel="0" collapsed="false">
      <c r="G80" s="11" t="n">
        <f aca="false">IF(G78&lt;&gt;".",MOD(H77+G78+G79,2),".")</f>
        <v>0</v>
      </c>
      <c r="H80" s="11" t="n">
        <f aca="false">IF(H78&lt;&gt;".",MOD(I77+H78+H79,2),".")</f>
        <v>0</v>
      </c>
      <c r="I80" s="11" t="n">
        <f aca="false">IF(I78&lt;&gt;".",MOD(J77+I78+I79,2),".")</f>
        <v>0</v>
      </c>
      <c r="J80" s="11" t="n">
        <f aca="false">IF(J78&lt;&gt;".",MOD(K77+J78+J79,2),".")</f>
        <v>1</v>
      </c>
      <c r="K80" s="11" t="str">
        <f aca="false">IF(K78&lt;&gt;".",MOD(L77+K78+K79,2),".")</f>
        <v>.</v>
      </c>
      <c r="L80" s="11" t="n">
        <f aca="false">IF(L78&lt;&gt;".",MOD(M77+L78+L79,2),".")</f>
        <v>0</v>
      </c>
      <c r="M80" s="11" t="n">
        <f aca="false">IF(M78&lt;&gt;".",MOD(N77+M78+M79,2),".")</f>
        <v>1</v>
      </c>
      <c r="N80" s="11" t="n">
        <f aca="false">IF(N78&lt;&gt;".",MOD(O77+N78+N79,2),".")</f>
        <v>1</v>
      </c>
      <c r="O80" s="11" t="n">
        <f aca="false">IF(O78&lt;&gt;".",MOD(P77+O78+O79,2),".")</f>
        <v>0</v>
      </c>
      <c r="P80" s="11" t="str">
        <f aca="false">IF(P78&lt;&gt;".",MOD(Q77+P78+P79,2),".")</f>
        <v>.</v>
      </c>
      <c r="Q80" s="11" t="n">
        <f aca="false">IF(Q78&lt;&gt;".",MOD(R77+Q78+Q79,2),".")</f>
        <v>1</v>
      </c>
      <c r="R80" s="11" t="n">
        <f aca="false">IF(R78&lt;&gt;".",MOD(S77+R78+R79,2),".")</f>
        <v>0</v>
      </c>
      <c r="S80" s="11" t="n">
        <f aca="false">IF(S78&lt;&gt;".",MOD(T77+S78+S79,2),".")</f>
        <v>1</v>
      </c>
      <c r="T80" s="11" t="n">
        <f aca="false">IF(T78&lt;&gt;".",MOD(U77+T78+T79,2),".")</f>
        <v>0</v>
      </c>
      <c r="U80" s="11" t="str">
        <f aca="false">IF(U78&lt;&gt;".",MOD(V77+U78+U79,2),".")</f>
        <v>.</v>
      </c>
      <c r="V80" s="11" t="n">
        <f aca="false">IF(V78&lt;&gt;".",MOD(W77+V78+V79,2),".")</f>
        <v>0</v>
      </c>
      <c r="W80" s="11" t="n">
        <f aca="false">IF(W78&lt;&gt;".",MOD(X77+W78+W79,2),".")</f>
        <v>0</v>
      </c>
      <c r="X80" s="11" t="n">
        <f aca="false">IF(X78&lt;&gt;".",MOD(Y77+X78+X79,2),".")</f>
        <v>1</v>
      </c>
      <c r="Y80" s="11" t="n">
        <f aca="false">IF(Y78&lt;&gt;".",MOD(Z77+Y78+Y79,2),".")</f>
        <v>1</v>
      </c>
      <c r="Z80" s="2" t="s">
        <v>54</v>
      </c>
      <c r="AA80" s="0" t="n">
        <f aca="false">IF(G80=0,_xlfn.DECIMAL(G80&amp;H80&amp;I80&amp;J80&amp;L80&amp;M80&amp;N80&amp;O80&amp;Q80&amp;R80&amp;S80&amp;T80&amp;V80&amp;W80&amp;X80&amp;Y80,2),0-_xlfn.DECIMAL(G86&amp;H86&amp;I86&amp;J86&amp;L86&amp;M86&amp;N86&amp;O86&amp;Q86&amp;R86&amp;S86&amp;T86&amp;V86&amp;W86&amp;X86&amp;Y86,2))</f>
        <v>5795</v>
      </c>
      <c r="AD80" s="12" t="n">
        <f aca="false">AD78+AD79</f>
        <v>-59741</v>
      </c>
    </row>
    <row r="82" customFormat="false" ht="12.8" hidden="false" customHeight="false" outlineLevel="0" collapsed="false">
      <c r="AA82" s="0" t="str">
        <f aca="false">IF(AND(AA80=AD80,T88=1),$AC$4,IF(AND(AA80=AD80,T88=0),$AC$3,IF(AND(G78+1-1=0,G79+1-1=0),$AC$5,$AC$6)))</f>
        <v>При сложении отрицательных чисел получен положительный результат Произошло переполнение.</v>
      </c>
    </row>
    <row r="83" customFormat="false" ht="12.8" hidden="false" customHeight="false" outlineLevel="0" collapsed="false">
      <c r="F83" s="0" t="s">
        <v>55</v>
      </c>
      <c r="G83" s="10" t="n">
        <f aca="false">IF(G84&lt;&gt;".",IF(G84+G85&lt;&gt;0,IF(G84+G85+H83=3,1,MOD(G84+G85+H83-1,2)),0),H83)</f>
        <v>0</v>
      </c>
      <c r="H83" s="10" t="n">
        <f aca="false">IF(H84&lt;&gt;".",IF(H84+H85&lt;&gt;0,IF(H84+H85+I83=3,1,MOD(H84+H85+I83-1,2)),0),I83)</f>
        <v>0</v>
      </c>
      <c r="I83" s="10" t="n">
        <f aca="false">IF(I84&lt;&gt;".",IF(I84+I85&lt;&gt;0,IF(I84+I85+J83=3,1,MOD(I84+I85+J83-1,2)),0),J83)</f>
        <v>0</v>
      </c>
      <c r="J83" s="10" t="n">
        <f aca="false">IF(J84&lt;&gt;".",IF(J84+J85&lt;&gt;0,IF(J84+J85+K83=3,1,MOD(J84+J85+K83-1,2)),0),K83)</f>
        <v>0</v>
      </c>
      <c r="K83" s="10" t="n">
        <f aca="false">IF(K84&lt;&gt;".",IF(K84+K85&lt;&gt;0,IF(K84+K85+L83=3,1,MOD(K84+K85+L83-1,2)),0),L83)</f>
        <v>0</v>
      </c>
      <c r="L83" s="10" t="n">
        <f aca="false">IF(L84&lt;&gt;".",IF(L84+L85&lt;&gt;0,IF(L84+L85+M83=3,1,MOD(L84+L85+M83-1,2)),0),M83)</f>
        <v>0</v>
      </c>
      <c r="M83" s="10" t="n">
        <f aca="false">IF(M84&lt;&gt;".",IF(M84+M85&lt;&gt;0,IF(M84+M85+N83=3,1,MOD(M84+M85+N83-1,2)),0),N83)</f>
        <v>0</v>
      </c>
      <c r="N83" s="10" t="n">
        <f aca="false">IF(N84&lt;&gt;".",IF(N84+N85&lt;&gt;0,IF(N84+N85+O83=3,1,MOD(N84+N85+O83-1,2)),0),O83)</f>
        <v>0</v>
      </c>
      <c r="O83" s="10" t="n">
        <f aca="false">IF(O84&lt;&gt;".",IF(O84+O85&lt;&gt;0,IF(O84+O85+P83=3,1,MOD(O84+O85+P83-1,2)),0),P83)</f>
        <v>0</v>
      </c>
      <c r="P83" s="10" t="n">
        <f aca="false">IF(P84&lt;&gt;".",IF(P84+P85&lt;&gt;0,IF(P84+P85+Q83=3,1,MOD(P84+P85+Q83-1,2)),0),Q83)</f>
        <v>0</v>
      </c>
      <c r="Q83" s="10" t="n">
        <f aca="false">IF(Q84&lt;&gt;".",IF(Q84+Q85&lt;&gt;0,IF(Q84+Q85+R83=3,1,MOD(Q84+Q85+R83-1,2)),0),R83)</f>
        <v>0</v>
      </c>
      <c r="R83" s="10" t="n">
        <f aca="false">IF(R84&lt;&gt;".",IF(R84+R85&lt;&gt;0,IF(R84+R85+S83=3,1,MOD(R84+R85+S83-1,2)),0),S83)</f>
        <v>0</v>
      </c>
      <c r="S83" s="10" t="n">
        <f aca="false">IF(S84&lt;&gt;".",IF(S84+S85&lt;&gt;0,IF(S84+S85+T83=3,1,MOD(S84+S85+T83-1,2)),0),T83)</f>
        <v>0</v>
      </c>
      <c r="T83" s="10" t="n">
        <f aca="false">IF(T84&lt;&gt;".",IF(T84+T85&lt;&gt;0,IF(T84+T85+U83=3,1,MOD(T84+T85+U83-1,2)),0),U83)</f>
        <v>0</v>
      </c>
      <c r="U83" s="10" t="n">
        <f aca="false">IF(U84&lt;&gt;".",IF(U84+U85&lt;&gt;0,IF(U84+U85+V83=3,1,MOD(U84+U85+V83-1,2)),0),V83)</f>
        <v>0</v>
      </c>
      <c r="V83" s="10" t="n">
        <f aca="false">IF(V84&lt;&gt;".",IF(V84+V85&lt;&gt;0,IF(V84+V85+W83=3,1,MOD(V84+V85+W83-1,2)),0),W83)</f>
        <v>0</v>
      </c>
      <c r="W83" s="10" t="n">
        <f aca="false">IF(W84&lt;&gt;".",IF(W84+W85&lt;&gt;0,IF(W84+W85+X83=3,1,MOD(W84+W85+X83-1,2)),0),X83)</f>
        <v>0</v>
      </c>
      <c r="X83" s="10" t="n">
        <f aca="false">IF(X84&lt;&gt;".",IF(X84+X85&lt;&gt;0,IF(X84+X85+Y83=3,1,MOD(X84+X85+Y83-1,2)),0),Y83)</f>
        <v>0</v>
      </c>
      <c r="Y83" s="10" t="n">
        <f aca="false">IF(Y84&lt;&gt;".",IF(Y84+Y85&lt;&gt;0,IF(Y84+Y85+Z83=3,1,MOD(Y84+Y85+Z83-1,2)),0),Z83)</f>
        <v>0</v>
      </c>
    </row>
    <row r="84" customFormat="false" ht="12.8" hidden="false" customHeight="false" outlineLevel="0" collapsed="false">
      <c r="F84" s="0" t="s">
        <v>56</v>
      </c>
      <c r="G84" s="2" t="n">
        <f aca="false">IF(G80&lt;&gt;".",MOD(G80+1,2),".")</f>
        <v>1</v>
      </c>
      <c r="H84" s="2" t="n">
        <f aca="false">IF(H80&lt;&gt;".",MOD(H80+1,2),".")</f>
        <v>1</v>
      </c>
      <c r="I84" s="2" t="n">
        <f aca="false">IF(I80&lt;&gt;".",MOD(I80+1,2),".")</f>
        <v>1</v>
      </c>
      <c r="J84" s="2" t="n">
        <f aca="false">IF(J80&lt;&gt;".",MOD(J80+1,2),".")</f>
        <v>0</v>
      </c>
      <c r="K84" s="2" t="str">
        <f aca="false">IF(K80&lt;&gt;".",MOD(K80+1,2),".")</f>
        <v>.</v>
      </c>
      <c r="L84" s="2" t="n">
        <f aca="false">IF(L80&lt;&gt;".",MOD(L80+1,2),".")</f>
        <v>1</v>
      </c>
      <c r="M84" s="2" t="n">
        <f aca="false">IF(M80&lt;&gt;".",MOD(M80+1,2),".")</f>
        <v>0</v>
      </c>
      <c r="N84" s="2" t="n">
        <f aca="false">IF(N80&lt;&gt;".",MOD(N80+1,2),".")</f>
        <v>0</v>
      </c>
      <c r="O84" s="2" t="n">
        <f aca="false">IF(O80&lt;&gt;".",MOD(O80+1,2),".")</f>
        <v>1</v>
      </c>
      <c r="P84" s="2" t="str">
        <f aca="false">IF(P80&lt;&gt;".",MOD(P80+1,2),".")</f>
        <v>.</v>
      </c>
      <c r="Q84" s="2" t="n">
        <f aca="false">IF(Q80&lt;&gt;".",MOD(Q80+1,2),".")</f>
        <v>0</v>
      </c>
      <c r="R84" s="2" t="n">
        <f aca="false">IF(R80&lt;&gt;".",MOD(R80+1,2),".")</f>
        <v>1</v>
      </c>
      <c r="S84" s="2" t="n">
        <f aca="false">IF(S80&lt;&gt;".",MOD(S80+1,2),".")</f>
        <v>0</v>
      </c>
      <c r="T84" s="2" t="n">
        <f aca="false">IF(T80&lt;&gt;".",MOD(T80+1,2),".")</f>
        <v>1</v>
      </c>
      <c r="U84" s="2" t="str">
        <f aca="false">IF(U80&lt;&gt;".",MOD(U80+1,2),".")</f>
        <v>.</v>
      </c>
      <c r="V84" s="2" t="n">
        <f aca="false">IF(V80&lt;&gt;".",MOD(V80+1,2),".")</f>
        <v>1</v>
      </c>
      <c r="W84" s="2" t="n">
        <f aca="false">IF(W80&lt;&gt;".",MOD(W80+1,2),".")</f>
        <v>1</v>
      </c>
      <c r="X84" s="2" t="n">
        <f aca="false">IF(X80&lt;&gt;".",MOD(X80+1,2),".")</f>
        <v>0</v>
      </c>
      <c r="Y84" s="2" t="n">
        <f aca="false">IF(Y80&lt;&gt;".",MOD(Y80+1,2),".")</f>
        <v>0</v>
      </c>
    </row>
    <row r="85" customFormat="false" ht="12.8" hidden="false" customHeight="false" outlineLevel="0" collapsed="false">
      <c r="F85" s="0" t="s">
        <v>57</v>
      </c>
      <c r="G85" s="2" t="n">
        <v>0</v>
      </c>
      <c r="H85" s="2" t="n">
        <v>0</v>
      </c>
      <c r="I85" s="2" t="n">
        <v>0</v>
      </c>
      <c r="J85" s="2" t="n">
        <v>0</v>
      </c>
      <c r="K85" s="2" t="s">
        <v>58</v>
      </c>
      <c r="L85" s="2" t="n">
        <v>0</v>
      </c>
      <c r="M85" s="2" t="n">
        <v>0</v>
      </c>
      <c r="N85" s="2" t="n">
        <v>0</v>
      </c>
      <c r="O85" s="2" t="n">
        <v>0</v>
      </c>
      <c r="P85" s="2" t="s">
        <v>58</v>
      </c>
      <c r="Q85" s="2" t="n">
        <v>0</v>
      </c>
      <c r="R85" s="2" t="n">
        <v>0</v>
      </c>
      <c r="S85" s="2" t="n">
        <v>0</v>
      </c>
      <c r="T85" s="2" t="n">
        <v>0</v>
      </c>
      <c r="U85" s="2" t="s">
        <v>58</v>
      </c>
      <c r="V85" s="2" t="n">
        <v>0</v>
      </c>
      <c r="W85" s="2" t="n">
        <v>0</v>
      </c>
      <c r="X85" s="2" t="n">
        <v>0</v>
      </c>
      <c r="Y85" s="2" t="n">
        <v>1</v>
      </c>
    </row>
    <row r="86" customFormat="false" ht="12.8" hidden="false" customHeight="false" outlineLevel="0" collapsed="false">
      <c r="G86" s="11" t="n">
        <f aca="false">IF(G84&lt;&gt;".",MOD(H83+G84+G85,2),".")</f>
        <v>1</v>
      </c>
      <c r="H86" s="11" t="n">
        <f aca="false">IF(H84&lt;&gt;".",MOD(I83+H84+H85,2),".")</f>
        <v>1</v>
      </c>
      <c r="I86" s="11" t="n">
        <f aca="false">IF(I84&lt;&gt;".",MOD(J83+I84+I85,2),".")</f>
        <v>1</v>
      </c>
      <c r="J86" s="11" t="n">
        <f aca="false">IF(J84&lt;&gt;".",MOD(K83+J84+J85,2),".")</f>
        <v>0</v>
      </c>
      <c r="K86" s="11" t="str">
        <f aca="false">IF(K84&lt;&gt;".",MOD(L83+K84+K85,2),".")</f>
        <v>.</v>
      </c>
      <c r="L86" s="11" t="n">
        <f aca="false">IF(L84&lt;&gt;".",MOD(M83+L84+L85,2),".")</f>
        <v>1</v>
      </c>
      <c r="M86" s="11" t="n">
        <f aca="false">IF(M84&lt;&gt;".",MOD(N83+M84+M85,2),".")</f>
        <v>0</v>
      </c>
      <c r="N86" s="11" t="n">
        <f aca="false">IF(N84&lt;&gt;".",MOD(O83+N84+N85,2),".")</f>
        <v>0</v>
      </c>
      <c r="O86" s="11" t="n">
        <f aca="false">IF(O84&lt;&gt;".",MOD(P83+O84+O85,2),".")</f>
        <v>1</v>
      </c>
      <c r="P86" s="11" t="str">
        <f aca="false">IF(P84&lt;&gt;".",MOD(Q83+P84+P85,2),".")</f>
        <v>.</v>
      </c>
      <c r="Q86" s="11" t="n">
        <f aca="false">IF(Q84&lt;&gt;".",MOD(R83+Q84+Q85,2),".")</f>
        <v>0</v>
      </c>
      <c r="R86" s="11" t="n">
        <f aca="false">IF(R84&lt;&gt;".",MOD(S83+R84+R85,2),".")</f>
        <v>1</v>
      </c>
      <c r="S86" s="11" t="n">
        <f aca="false">IF(S84&lt;&gt;".",MOD(T83+S84+S85,2),".")</f>
        <v>0</v>
      </c>
      <c r="T86" s="11" t="n">
        <f aca="false">IF(T84&lt;&gt;".",MOD(U83+T84+T85,2),".")</f>
        <v>1</v>
      </c>
      <c r="U86" s="11" t="str">
        <f aca="false">IF(U84&lt;&gt;".",MOD(V83+U84+U85,2),".")</f>
        <v>.</v>
      </c>
      <c r="V86" s="11" t="n">
        <f aca="false">IF(V84&lt;&gt;".",MOD(W83+V84+V85,2),".")</f>
        <v>1</v>
      </c>
      <c r="W86" s="11" t="n">
        <f aca="false">IF(W84&lt;&gt;".",MOD(X83+W84+W85,2),".")</f>
        <v>1</v>
      </c>
      <c r="X86" s="11" t="n">
        <f aca="false">IF(X84&lt;&gt;".",MOD(Y83+X84+X85,2),".")</f>
        <v>0</v>
      </c>
      <c r="Y86" s="11" t="n">
        <f aca="false">IF(Y84&lt;&gt;".",MOD(Z83+Y84+Y85,2),".")</f>
        <v>1</v>
      </c>
    </row>
    <row r="88" customFormat="false" ht="12.8" hidden="false" customHeight="false" outlineLevel="0" collapsed="false">
      <c r="G88" s="0" t="s">
        <v>59</v>
      </c>
      <c r="H88" s="13" t="n">
        <f aca="false">G80</f>
        <v>0</v>
      </c>
      <c r="J88" s="0" t="s">
        <v>60</v>
      </c>
      <c r="K88" s="13" t="n">
        <f aca="false">IF(AA80=0,0,1)</f>
        <v>1</v>
      </c>
      <c r="M88" s="0" t="s">
        <v>61</v>
      </c>
      <c r="N88" s="13" t="n">
        <f aca="false">MOD(SUM(Q86:T86)+SUM(V86:Y86)+1,2)</f>
        <v>0</v>
      </c>
      <c r="P88" s="0" t="s">
        <v>62</v>
      </c>
      <c r="Q88" s="13" t="n">
        <f aca="false">U77</f>
        <v>0</v>
      </c>
      <c r="S88" s="0" t="s">
        <v>63</v>
      </c>
      <c r="T88" s="13" t="n">
        <f aca="false">G77</f>
        <v>1</v>
      </c>
      <c r="V88" s="0" t="s">
        <v>64</v>
      </c>
      <c r="W88" s="13" t="n">
        <f aca="false">MOD(G77+H77,2)</f>
        <v>1</v>
      </c>
    </row>
    <row r="91" customFormat="false" ht="12.8" hidden="false" customHeight="false" outlineLevel="0" collapsed="false">
      <c r="G91" s="10" t="n">
        <f aca="false">IF(G92&lt;&gt;".",IF(G92+G93&lt;&gt;0,IF(G92+G93+H91=3,1,MOD(G92+G93+H91-1,2)),0),H91)</f>
        <v>0</v>
      </c>
      <c r="H91" s="10" t="n">
        <f aca="false">IF(H92&lt;&gt;".",IF(H92+H93&lt;&gt;0,IF(H92+H93+I91=3,1,MOD(H92+H93+I91-1,2)),0),I91)</f>
        <v>0</v>
      </c>
      <c r="I91" s="10" t="n">
        <f aca="false">IF(I92&lt;&gt;".",IF(I92+I93&lt;&gt;0,IF(I92+I93+J91=3,1,MOD(I92+I93+J91-1,2)),0),J91)</f>
        <v>0</v>
      </c>
      <c r="J91" s="10" t="n">
        <f aca="false">IF(J92&lt;&gt;".",IF(J92+J93&lt;&gt;0,IF(J92+J93+K91=3,1,MOD(J92+J93+K91-1,2)),0),K91)</f>
        <v>1</v>
      </c>
      <c r="K91" s="10" t="n">
        <f aca="false">IF(K92&lt;&gt;".",IF(K92+K93&lt;&gt;0,IF(K92+K93+L91=3,1,MOD(K92+K93+L91-1,2)),0),L91)</f>
        <v>1</v>
      </c>
      <c r="L91" s="10" t="n">
        <f aca="false">IF(L92&lt;&gt;".",IF(L92+L93&lt;&gt;0,IF(L92+L93+M91=3,1,MOD(L92+L93+M91-1,2)),0),M91)</f>
        <v>1</v>
      </c>
      <c r="M91" s="10" t="n">
        <f aca="false">IF(M92&lt;&gt;".",IF(M92+M93&lt;&gt;0,IF(M92+M93+N91=3,1,MOD(M92+M93+N91-1,2)),0),N91)</f>
        <v>1</v>
      </c>
      <c r="N91" s="10" t="n">
        <f aca="false">IF(N92&lt;&gt;".",IF(N92+N93&lt;&gt;0,IF(N92+N93+O91=3,1,MOD(N92+N93+O91-1,2)),0),O91)</f>
        <v>1</v>
      </c>
      <c r="O91" s="10" t="n">
        <f aca="false">IF(O92&lt;&gt;".",IF(O92+O93&lt;&gt;0,IF(O92+O93+P91=3,1,MOD(O92+O93+P91-1,2)),0),P91)</f>
        <v>0</v>
      </c>
      <c r="P91" s="10" t="n">
        <f aca="false">IF(P92&lt;&gt;".",IF(P92+P93&lt;&gt;0,IF(P92+P93+Q91=3,1,MOD(P92+P93+Q91-1,2)),0),Q91)</f>
        <v>0</v>
      </c>
      <c r="Q91" s="10" t="n">
        <f aca="false">IF(Q92&lt;&gt;".",IF(Q92+Q93&lt;&gt;0,IF(Q92+Q93+R91=3,1,MOD(Q92+Q93+R91-1,2)),0),R91)</f>
        <v>0</v>
      </c>
      <c r="R91" s="10" t="n">
        <f aca="false">IF(R92&lt;&gt;".",IF(R92+R93&lt;&gt;0,IF(R92+R93+S91=3,1,MOD(R92+R93+S91-1,2)),0),S91)</f>
        <v>1</v>
      </c>
      <c r="S91" s="10" t="n">
        <f aca="false">IF(S92&lt;&gt;".",IF(S92+S93&lt;&gt;0,IF(S92+S93+T91=3,1,MOD(S92+S93+T91-1,2)),0),T91)</f>
        <v>1</v>
      </c>
      <c r="T91" s="10" t="n">
        <f aca="false">IF(T92&lt;&gt;".",IF(T92+T93&lt;&gt;0,IF(T92+T93+U91=3,1,MOD(T92+T93+U91-1,2)),0),U91)</f>
        <v>0</v>
      </c>
      <c r="U91" s="10" t="n">
        <f aca="false">IF(U92&lt;&gt;".",IF(U92+U93&lt;&gt;0,IF(U92+U93+V91=3,1,MOD(U92+U93+V91-1,2)),0),V91)</f>
        <v>0</v>
      </c>
      <c r="V91" s="10" t="n">
        <f aca="false">IF(V92&lt;&gt;".",IF(V92+V93&lt;&gt;0,IF(V92+V93+W91=3,1,MOD(V92+V93+W91-1,2)),0),W91)</f>
        <v>0</v>
      </c>
      <c r="W91" s="10" t="n">
        <f aca="false">IF(W92&lt;&gt;".",IF(W92+W93&lt;&gt;0,IF(W92+W93+X91=3,1,MOD(W92+W93+X91-1,2)),0),X91)</f>
        <v>0</v>
      </c>
      <c r="X91" s="10" t="n">
        <f aca="false">IF(X92&lt;&gt;".",IF(X92+X93&lt;&gt;0,IF(X92+X93+Y91=3,1,MOD(X92+X93+Y91-1,2)),0),Y91)</f>
        <v>0</v>
      </c>
      <c r="Y91" s="10" t="n">
        <f aca="false">IF(Y92&lt;&gt;".",IF(Y92+Y93&lt;&gt;0,IF(Y92+Y93+Z91=3,1,MOD(Y92+Y93+Z91-1,2)),0),Z91)</f>
        <v>0</v>
      </c>
    </row>
    <row r="92" customFormat="false" ht="12.8" hidden="false" customHeight="false" outlineLevel="0" collapsed="false">
      <c r="F92" s="14" t="s">
        <v>48</v>
      </c>
      <c r="G92" s="2" t="str">
        <f aca="false">G8</f>
        <v>0</v>
      </c>
      <c r="H92" s="2" t="str">
        <f aca="false">H8</f>
        <v>0</v>
      </c>
      <c r="I92" s="2" t="str">
        <f aca="false">I8</f>
        <v>0</v>
      </c>
      <c r="J92" s="2" t="str">
        <f aca="false">J8</f>
        <v>0</v>
      </c>
      <c r="K92" s="2" t="str">
        <f aca="false">K8</f>
        <v>.</v>
      </c>
      <c r="L92" s="2" t="str">
        <f aca="false">L8</f>
        <v>1</v>
      </c>
      <c r="M92" s="2" t="str">
        <f aca="false">M8</f>
        <v>1</v>
      </c>
      <c r="N92" s="2" t="str">
        <f aca="false">N8</f>
        <v>1</v>
      </c>
      <c r="O92" s="2" t="str">
        <f aca="false">O8</f>
        <v>0</v>
      </c>
      <c r="P92" s="2" t="str">
        <f aca="false">P8</f>
        <v>.</v>
      </c>
      <c r="Q92" s="2" t="str">
        <f aca="false">Q8</f>
        <v>0</v>
      </c>
      <c r="R92" s="2" t="str">
        <f aca="false">R8</f>
        <v>0</v>
      </c>
      <c r="S92" s="2" t="str">
        <f aca="false">S8</f>
        <v>1</v>
      </c>
      <c r="T92" s="2" t="str">
        <f aca="false">T8</f>
        <v>0</v>
      </c>
      <c r="U92" s="2" t="str">
        <f aca="false">U8</f>
        <v>.</v>
      </c>
      <c r="V92" s="2" t="str">
        <f aca="false">V8</f>
        <v>0</v>
      </c>
      <c r="W92" s="2" t="str">
        <f aca="false">W8</f>
        <v>0</v>
      </c>
      <c r="X92" s="2" t="str">
        <f aca="false">X8</f>
        <v>0</v>
      </c>
      <c r="Y92" s="2" t="str">
        <f aca="false">Y8</f>
        <v>1</v>
      </c>
      <c r="AC92" s="0" t="s">
        <v>49</v>
      </c>
      <c r="AD92" s="5" t="n">
        <f aca="false">C8</f>
        <v>3617</v>
      </c>
    </row>
    <row r="93" customFormat="false" ht="12.8" hidden="false" customHeight="false" outlineLevel="0" collapsed="false">
      <c r="E93" s="3" t="s">
        <v>50</v>
      </c>
      <c r="F93" s="0" t="s">
        <v>69</v>
      </c>
      <c r="G93" s="2" t="str">
        <f aca="false">G15</f>
        <v>1</v>
      </c>
      <c r="H93" s="2" t="str">
        <f aca="false">H15</f>
        <v>0</v>
      </c>
      <c r="I93" s="2" t="str">
        <f aca="false">I15</f>
        <v>0</v>
      </c>
      <c r="J93" s="2" t="str">
        <f aca="false">J15</f>
        <v>1</v>
      </c>
      <c r="K93" s="2" t="str">
        <f aca="false">K15</f>
        <v>.</v>
      </c>
      <c r="L93" s="2" t="str">
        <f aca="false">L15</f>
        <v>0</v>
      </c>
      <c r="M93" s="2" t="str">
        <f aca="false">M15</f>
        <v>0</v>
      </c>
      <c r="N93" s="2" t="str">
        <f aca="false">N15</f>
        <v>1</v>
      </c>
      <c r="O93" s="2" t="str">
        <f aca="false">O15</f>
        <v>0</v>
      </c>
      <c r="P93" s="2" t="str">
        <f aca="false">P15</f>
        <v>.</v>
      </c>
      <c r="Q93" s="2" t="str">
        <f aca="false">Q15</f>
        <v>0</v>
      </c>
      <c r="R93" s="2" t="str">
        <f aca="false">R15</f>
        <v>1</v>
      </c>
      <c r="S93" s="2" t="str">
        <f aca="false">S15</f>
        <v>1</v>
      </c>
      <c r="T93" s="2" t="str">
        <f aca="false">T15</f>
        <v>0</v>
      </c>
      <c r="U93" s="2" t="str">
        <f aca="false">U15</f>
        <v>.</v>
      </c>
      <c r="V93" s="2" t="str">
        <f aca="false">V15</f>
        <v>0</v>
      </c>
      <c r="W93" s="2" t="str">
        <f aca="false">W15</f>
        <v>0</v>
      </c>
      <c r="X93" s="2" t="str">
        <f aca="false">X15</f>
        <v>1</v>
      </c>
      <c r="Y93" s="2" t="str">
        <f aca="false">Y15</f>
        <v>0</v>
      </c>
      <c r="AA93" s="0" t="s">
        <v>52</v>
      </c>
      <c r="AB93" s="3" t="s">
        <v>50</v>
      </c>
      <c r="AC93" s="0" t="s">
        <v>70</v>
      </c>
      <c r="AD93" s="5" t="n">
        <f aca="false">C15</f>
        <v>-28062</v>
      </c>
    </row>
    <row r="94" customFormat="false" ht="12.8" hidden="false" customHeight="false" outlineLevel="0" collapsed="false">
      <c r="G94" s="11" t="n">
        <f aca="false">IF(G92&lt;&gt;".",MOD(H91+G92+G93,2),".")</f>
        <v>1</v>
      </c>
      <c r="H94" s="11" t="n">
        <f aca="false">IF(H92&lt;&gt;".",MOD(I91+H92+H93,2),".")</f>
        <v>0</v>
      </c>
      <c r="I94" s="11" t="n">
        <f aca="false">IF(I92&lt;&gt;".",MOD(J91+I92+I93,2),".")</f>
        <v>1</v>
      </c>
      <c r="J94" s="11" t="n">
        <f aca="false">IF(J92&lt;&gt;".",MOD(K91+J92+J93,2),".")</f>
        <v>0</v>
      </c>
      <c r="K94" s="11" t="str">
        <f aca="false">IF(K92&lt;&gt;".",MOD(L91+K92+K93,2),".")</f>
        <v>.</v>
      </c>
      <c r="L94" s="11" t="n">
        <f aca="false">IF(L92&lt;&gt;".",MOD(M91+L92+L93,2),".")</f>
        <v>0</v>
      </c>
      <c r="M94" s="11" t="n">
        <f aca="false">IF(M92&lt;&gt;".",MOD(N91+M92+M93,2),".")</f>
        <v>0</v>
      </c>
      <c r="N94" s="11" t="n">
        <f aca="false">IF(N92&lt;&gt;".",MOD(O91+N92+N93,2),".")</f>
        <v>0</v>
      </c>
      <c r="O94" s="11" t="n">
        <f aca="false">IF(O92&lt;&gt;".",MOD(P91+O92+O93,2),".")</f>
        <v>0</v>
      </c>
      <c r="P94" s="11" t="str">
        <f aca="false">IF(P92&lt;&gt;".",MOD(Q91+P92+P93,2),".")</f>
        <v>.</v>
      </c>
      <c r="Q94" s="11" t="n">
        <f aca="false">IF(Q92&lt;&gt;".",MOD(R91+Q92+Q93,2),".")</f>
        <v>1</v>
      </c>
      <c r="R94" s="11" t="n">
        <f aca="false">IF(R92&lt;&gt;".",MOD(S91+R92+R93,2),".")</f>
        <v>0</v>
      </c>
      <c r="S94" s="11" t="n">
        <f aca="false">IF(S92&lt;&gt;".",MOD(T91+S92+S93,2),".")</f>
        <v>0</v>
      </c>
      <c r="T94" s="11" t="n">
        <f aca="false">IF(T92&lt;&gt;".",MOD(U91+T92+T93,2),".")</f>
        <v>0</v>
      </c>
      <c r="U94" s="11" t="str">
        <f aca="false">IF(U92&lt;&gt;".",MOD(V91+U92+U93,2),".")</f>
        <v>.</v>
      </c>
      <c r="V94" s="11" t="n">
        <f aca="false">IF(V92&lt;&gt;".",MOD(W91+V92+V93,2),".")</f>
        <v>0</v>
      </c>
      <c r="W94" s="11" t="n">
        <f aca="false">IF(W92&lt;&gt;".",MOD(X91+W92+W93,2),".")</f>
        <v>0</v>
      </c>
      <c r="X94" s="11" t="n">
        <f aca="false">IF(X92&lt;&gt;".",MOD(Y91+X92+X93,2),".")</f>
        <v>1</v>
      </c>
      <c r="Y94" s="11" t="n">
        <f aca="false">IF(Y92&lt;&gt;".",MOD(Z91+Y92+Y93,2),".")</f>
        <v>1</v>
      </c>
      <c r="Z94" s="2" t="s">
        <v>54</v>
      </c>
      <c r="AA94" s="0" t="n">
        <f aca="false">IF(G94=0,_xlfn.DECIMAL(G94&amp;H94&amp;I94&amp;J94&amp;L94&amp;M94&amp;N94&amp;O94&amp;Q94&amp;R94&amp;S94&amp;T94&amp;V94&amp;W94&amp;X94&amp;Y94,2),0-_xlfn.DECIMAL(G100&amp;H100&amp;I100&amp;J100&amp;L100&amp;M100&amp;N100&amp;O100&amp;Q100&amp;R100&amp;S100&amp;T100&amp;V100&amp;W100&amp;X100&amp;Y100,2))</f>
        <v>-24445</v>
      </c>
      <c r="AD94" s="12" t="n">
        <f aca="false">AD92+AD93</f>
        <v>-24445</v>
      </c>
    </row>
    <row r="96" customFormat="false" ht="12.8" hidden="false" customHeight="false" outlineLevel="0" collapsed="false">
      <c r="AA96" s="0" t="str">
        <f aca="false">IF(AND(AA94=AD94,T102=1),$AC$4,IF(AND(AA94=AD94,T102=0),$AC$3,IF(AND(G92+1-1=0,G93+1-1=0),$AC$5,$AC$6)))</f>
        <v>Результат корректен.</v>
      </c>
    </row>
    <row r="97" customFormat="false" ht="12.8" hidden="false" customHeight="false" outlineLevel="0" collapsed="false">
      <c r="F97" s="0" t="s">
        <v>55</v>
      </c>
      <c r="G97" s="10" t="n">
        <f aca="false">IF(G98&lt;&gt;".",IF(G98+G99&lt;&gt;0,IF(G98+G99+H97=3,1,MOD(G98+G99+H97-1,2)),0),H97)</f>
        <v>0</v>
      </c>
      <c r="H97" s="10" t="n">
        <f aca="false">IF(H98&lt;&gt;".",IF(H98+H99&lt;&gt;0,IF(H98+H99+I97=3,1,MOD(H98+H99+I97-1,2)),0),I97)</f>
        <v>0</v>
      </c>
      <c r="I97" s="10" t="n">
        <f aca="false">IF(I98&lt;&gt;".",IF(I98+I99&lt;&gt;0,IF(I98+I99+J97=3,1,MOD(I98+I99+J97-1,2)),0),J97)</f>
        <v>0</v>
      </c>
      <c r="J97" s="10" t="n">
        <f aca="false">IF(J98&lt;&gt;".",IF(J98+J99&lt;&gt;0,IF(J98+J99+K97=3,1,MOD(J98+J99+K97-1,2)),0),K97)</f>
        <v>0</v>
      </c>
      <c r="K97" s="10" t="n">
        <f aca="false">IF(K98&lt;&gt;".",IF(K98+K99&lt;&gt;0,IF(K98+K99+L97=3,1,MOD(K98+K99+L97-1,2)),0),L97)</f>
        <v>0</v>
      </c>
      <c r="L97" s="10" t="n">
        <f aca="false">IF(L98&lt;&gt;".",IF(L98+L99&lt;&gt;0,IF(L98+L99+M97=3,1,MOD(L98+L99+M97-1,2)),0),M97)</f>
        <v>0</v>
      </c>
      <c r="M97" s="10" t="n">
        <f aca="false">IF(M98&lt;&gt;".",IF(M98+M99&lt;&gt;0,IF(M98+M99+N97=3,1,MOD(M98+M99+N97-1,2)),0),N97)</f>
        <v>0</v>
      </c>
      <c r="N97" s="10" t="n">
        <f aca="false">IF(N98&lt;&gt;".",IF(N98+N99&lt;&gt;0,IF(N98+N99+O97=3,1,MOD(N98+N99+O97-1,2)),0),O97)</f>
        <v>0</v>
      </c>
      <c r="O97" s="10" t="n">
        <f aca="false">IF(O98&lt;&gt;".",IF(O98+O99&lt;&gt;0,IF(O98+O99+P97=3,1,MOD(O98+O99+P97-1,2)),0),P97)</f>
        <v>0</v>
      </c>
      <c r="P97" s="10" t="n">
        <f aca="false">IF(P98&lt;&gt;".",IF(P98+P99&lt;&gt;0,IF(P98+P99+Q97=3,1,MOD(P98+P99+Q97-1,2)),0),Q97)</f>
        <v>0</v>
      </c>
      <c r="Q97" s="10" t="n">
        <f aca="false">IF(Q98&lt;&gt;".",IF(Q98+Q99&lt;&gt;0,IF(Q98+Q99+R97=3,1,MOD(Q98+Q99+R97-1,2)),0),R97)</f>
        <v>0</v>
      </c>
      <c r="R97" s="10" t="n">
        <f aca="false">IF(R98&lt;&gt;".",IF(R98+R99&lt;&gt;0,IF(R98+R99+S97=3,1,MOD(R98+R99+S97-1,2)),0),S97)</f>
        <v>0</v>
      </c>
      <c r="S97" s="10" t="n">
        <f aca="false">IF(S98&lt;&gt;".",IF(S98+S99&lt;&gt;0,IF(S98+S99+T97=3,1,MOD(S98+S99+T97-1,2)),0),T97)</f>
        <v>0</v>
      </c>
      <c r="T97" s="10" t="n">
        <f aca="false">IF(T98&lt;&gt;".",IF(T98+T99&lt;&gt;0,IF(T98+T99+U97=3,1,MOD(T98+T99+U97-1,2)),0),U97)</f>
        <v>0</v>
      </c>
      <c r="U97" s="10" t="n">
        <f aca="false">IF(U98&lt;&gt;".",IF(U98+U99&lt;&gt;0,IF(U98+U99+V97=3,1,MOD(U98+U99+V97-1,2)),0),V97)</f>
        <v>0</v>
      </c>
      <c r="V97" s="10" t="n">
        <f aca="false">IF(V98&lt;&gt;".",IF(V98+V99&lt;&gt;0,IF(V98+V99+W97=3,1,MOD(V98+V99+W97-1,2)),0),W97)</f>
        <v>0</v>
      </c>
      <c r="W97" s="10" t="n">
        <f aca="false">IF(W98&lt;&gt;".",IF(W98+W99&lt;&gt;0,IF(W98+W99+X97=3,1,MOD(W98+W99+X97-1,2)),0),X97)</f>
        <v>0</v>
      </c>
      <c r="X97" s="10" t="n">
        <f aca="false">IF(X98&lt;&gt;".",IF(X98+X99&lt;&gt;0,IF(X98+X99+Y97=3,1,MOD(X98+X99+Y97-1,2)),0),Y97)</f>
        <v>0</v>
      </c>
      <c r="Y97" s="10" t="n">
        <f aca="false">IF(Y98&lt;&gt;".",IF(Y98+Y99&lt;&gt;0,IF(Y98+Y99+Z97=3,1,MOD(Y98+Y99+Z97-1,2)),0),Z97)</f>
        <v>0</v>
      </c>
    </row>
    <row r="98" customFormat="false" ht="12.8" hidden="false" customHeight="false" outlineLevel="0" collapsed="false">
      <c r="F98" s="0" t="s">
        <v>56</v>
      </c>
      <c r="G98" s="2" t="n">
        <f aca="false">IF(G94&lt;&gt;".",MOD(G94+1,2),".")</f>
        <v>0</v>
      </c>
      <c r="H98" s="2" t="n">
        <f aca="false">IF(H94&lt;&gt;".",MOD(H94+1,2),".")</f>
        <v>1</v>
      </c>
      <c r="I98" s="2" t="n">
        <f aca="false">IF(I94&lt;&gt;".",MOD(I94+1,2),".")</f>
        <v>0</v>
      </c>
      <c r="J98" s="2" t="n">
        <f aca="false">IF(J94&lt;&gt;".",MOD(J94+1,2),".")</f>
        <v>1</v>
      </c>
      <c r="K98" s="2" t="str">
        <f aca="false">IF(K94&lt;&gt;".",MOD(K94+1,2),".")</f>
        <v>.</v>
      </c>
      <c r="L98" s="2" t="n">
        <f aca="false">IF(L94&lt;&gt;".",MOD(L94+1,2),".")</f>
        <v>1</v>
      </c>
      <c r="M98" s="2" t="n">
        <f aca="false">IF(M94&lt;&gt;".",MOD(M94+1,2),".")</f>
        <v>1</v>
      </c>
      <c r="N98" s="2" t="n">
        <f aca="false">IF(N94&lt;&gt;".",MOD(N94+1,2),".")</f>
        <v>1</v>
      </c>
      <c r="O98" s="2" t="n">
        <f aca="false">IF(O94&lt;&gt;".",MOD(O94+1,2),".")</f>
        <v>1</v>
      </c>
      <c r="P98" s="2" t="str">
        <f aca="false">IF(P94&lt;&gt;".",MOD(P94+1,2),".")</f>
        <v>.</v>
      </c>
      <c r="Q98" s="2" t="n">
        <f aca="false">IF(Q94&lt;&gt;".",MOD(Q94+1,2),".")</f>
        <v>0</v>
      </c>
      <c r="R98" s="2" t="n">
        <f aca="false">IF(R94&lt;&gt;".",MOD(R94+1,2),".")</f>
        <v>1</v>
      </c>
      <c r="S98" s="2" t="n">
        <f aca="false">IF(S94&lt;&gt;".",MOD(S94+1,2),".")</f>
        <v>1</v>
      </c>
      <c r="T98" s="2" t="n">
        <f aca="false">IF(T94&lt;&gt;".",MOD(T94+1,2),".")</f>
        <v>1</v>
      </c>
      <c r="U98" s="2" t="str">
        <f aca="false">IF(U94&lt;&gt;".",MOD(U94+1,2),".")</f>
        <v>.</v>
      </c>
      <c r="V98" s="2" t="n">
        <f aca="false">IF(V94&lt;&gt;".",MOD(V94+1,2),".")</f>
        <v>1</v>
      </c>
      <c r="W98" s="2" t="n">
        <f aca="false">IF(W94&lt;&gt;".",MOD(W94+1,2),".")</f>
        <v>1</v>
      </c>
      <c r="X98" s="2" t="n">
        <f aca="false">IF(X94&lt;&gt;".",MOD(X94+1,2),".")</f>
        <v>0</v>
      </c>
      <c r="Y98" s="2" t="n">
        <f aca="false">IF(Y94&lt;&gt;".",MOD(Y94+1,2),".")</f>
        <v>0</v>
      </c>
    </row>
    <row r="99" customFormat="false" ht="12.8" hidden="false" customHeight="false" outlineLevel="0" collapsed="false">
      <c r="F99" s="0" t="s">
        <v>57</v>
      </c>
      <c r="G99" s="2" t="n">
        <v>0</v>
      </c>
      <c r="H99" s="2" t="n">
        <v>0</v>
      </c>
      <c r="I99" s="2" t="n">
        <v>0</v>
      </c>
      <c r="J99" s="2" t="n">
        <v>0</v>
      </c>
      <c r="K99" s="2" t="s">
        <v>58</v>
      </c>
      <c r="L99" s="2" t="n">
        <v>0</v>
      </c>
      <c r="M99" s="2" t="n">
        <v>0</v>
      </c>
      <c r="N99" s="2" t="n">
        <v>0</v>
      </c>
      <c r="O99" s="2" t="n">
        <v>0</v>
      </c>
      <c r="P99" s="2" t="s">
        <v>58</v>
      </c>
      <c r="Q99" s="2" t="n">
        <v>0</v>
      </c>
      <c r="R99" s="2" t="n">
        <v>0</v>
      </c>
      <c r="S99" s="2" t="n">
        <v>0</v>
      </c>
      <c r="T99" s="2" t="n">
        <v>0</v>
      </c>
      <c r="U99" s="2" t="s">
        <v>58</v>
      </c>
      <c r="V99" s="2" t="n">
        <v>0</v>
      </c>
      <c r="W99" s="2" t="n">
        <v>0</v>
      </c>
      <c r="X99" s="2" t="n">
        <v>0</v>
      </c>
      <c r="Y99" s="2" t="n">
        <v>1</v>
      </c>
    </row>
    <row r="100" customFormat="false" ht="12.8" hidden="false" customHeight="false" outlineLevel="0" collapsed="false">
      <c r="G100" s="11" t="n">
        <f aca="false">IF(G98&lt;&gt;".",MOD(H97+G98+G99,2),".")</f>
        <v>0</v>
      </c>
      <c r="H100" s="11" t="n">
        <f aca="false">IF(H98&lt;&gt;".",MOD(I97+H98+H99,2),".")</f>
        <v>1</v>
      </c>
      <c r="I100" s="11" t="n">
        <f aca="false">IF(I98&lt;&gt;".",MOD(J97+I98+I99,2),".")</f>
        <v>0</v>
      </c>
      <c r="J100" s="11" t="n">
        <f aca="false">IF(J98&lt;&gt;".",MOD(K97+J98+J99,2),".")</f>
        <v>1</v>
      </c>
      <c r="K100" s="11" t="str">
        <f aca="false">IF(K98&lt;&gt;".",MOD(L97+K98+K99,2),".")</f>
        <v>.</v>
      </c>
      <c r="L100" s="11" t="n">
        <f aca="false">IF(L98&lt;&gt;".",MOD(M97+L98+L99,2),".")</f>
        <v>1</v>
      </c>
      <c r="M100" s="11" t="n">
        <f aca="false">IF(M98&lt;&gt;".",MOD(N97+M98+M99,2),".")</f>
        <v>1</v>
      </c>
      <c r="N100" s="11" t="n">
        <f aca="false">IF(N98&lt;&gt;".",MOD(O97+N98+N99,2),".")</f>
        <v>1</v>
      </c>
      <c r="O100" s="11" t="n">
        <f aca="false">IF(O98&lt;&gt;".",MOD(P97+O98+O99,2),".")</f>
        <v>1</v>
      </c>
      <c r="P100" s="11" t="str">
        <f aca="false">IF(P98&lt;&gt;".",MOD(Q97+P98+P99,2),".")</f>
        <v>.</v>
      </c>
      <c r="Q100" s="11" t="n">
        <f aca="false">IF(Q98&lt;&gt;".",MOD(R97+Q98+Q99,2),".")</f>
        <v>0</v>
      </c>
      <c r="R100" s="11" t="n">
        <f aca="false">IF(R98&lt;&gt;".",MOD(S97+R98+R99,2),".")</f>
        <v>1</v>
      </c>
      <c r="S100" s="11" t="n">
        <f aca="false">IF(S98&lt;&gt;".",MOD(T97+S98+S99,2),".")</f>
        <v>1</v>
      </c>
      <c r="T100" s="11" t="n">
        <f aca="false">IF(T98&lt;&gt;".",MOD(U97+T98+T99,2),".")</f>
        <v>1</v>
      </c>
      <c r="U100" s="11" t="str">
        <f aca="false">IF(U98&lt;&gt;".",MOD(V97+U98+U99,2),".")</f>
        <v>.</v>
      </c>
      <c r="V100" s="11" t="n">
        <f aca="false">IF(V98&lt;&gt;".",MOD(W97+V98+V99,2),".")</f>
        <v>1</v>
      </c>
      <c r="W100" s="11" t="n">
        <f aca="false">IF(W98&lt;&gt;".",MOD(X97+W98+W99,2),".")</f>
        <v>1</v>
      </c>
      <c r="X100" s="11" t="n">
        <f aca="false">IF(X98&lt;&gt;".",MOD(Y97+X98+X99,2),".")</f>
        <v>0</v>
      </c>
      <c r="Y100" s="11" t="n">
        <f aca="false">IF(Y98&lt;&gt;".",MOD(Z97+Y98+Y99,2),".")</f>
        <v>1</v>
      </c>
    </row>
    <row r="102" customFormat="false" ht="12.8" hidden="false" customHeight="false" outlineLevel="0" collapsed="false">
      <c r="G102" s="0" t="s">
        <v>59</v>
      </c>
      <c r="H102" s="13" t="n">
        <f aca="false">G94</f>
        <v>1</v>
      </c>
      <c r="J102" s="0" t="s">
        <v>60</v>
      </c>
      <c r="K102" s="13" t="n">
        <f aca="false">IF(AA94=0,0,1)</f>
        <v>1</v>
      </c>
      <c r="M102" s="0" t="s">
        <v>61</v>
      </c>
      <c r="N102" s="13" t="n">
        <f aca="false">MOD(SUM(Q100:T100)+SUM(V100:Y100)+1,2)</f>
        <v>1</v>
      </c>
      <c r="P102" s="0" t="s">
        <v>62</v>
      </c>
      <c r="Q102" s="13" t="n">
        <f aca="false">U91</f>
        <v>0</v>
      </c>
      <c r="S102" s="0" t="s">
        <v>63</v>
      </c>
      <c r="T102" s="13" t="n">
        <f aca="false">G91</f>
        <v>0</v>
      </c>
      <c r="V102" s="0" t="s">
        <v>64</v>
      </c>
      <c r="W102" s="13" t="n">
        <f aca="false">MOD(G91+H91,2)</f>
        <v>0</v>
      </c>
    </row>
    <row r="105" customFormat="false" ht="12.8" hidden="false" customHeight="false" outlineLevel="0" collapsed="false">
      <c r="G105" s="10" t="n">
        <f aca="false">IF(G106&lt;&gt;".",IF(G106+G107&lt;&gt;0,IF(G106+G107+H105=3,1,MOD(G106+G107+H105-1,2)),0),H105)</f>
        <v>1</v>
      </c>
      <c r="H105" s="10" t="n">
        <f aca="false">IF(H106&lt;&gt;".",IF(H106+H107&lt;&gt;0,IF(H106+H107+I105=3,1,MOD(H106+H107+I105-1,2)),0),I105)</f>
        <v>1</v>
      </c>
      <c r="I105" s="10" t="n">
        <f aca="false">IF(I106&lt;&gt;".",IF(I106+I107&lt;&gt;0,IF(I106+I107+J105=3,1,MOD(I106+I107+J105-1,2)),0),J105)</f>
        <v>1</v>
      </c>
      <c r="J105" s="10" t="n">
        <f aca="false">IF(J106&lt;&gt;".",IF(J106+J107&lt;&gt;0,IF(J106+J107+K105=3,1,MOD(J106+J107+K105-1,2)),0),K105)</f>
        <v>0</v>
      </c>
      <c r="K105" s="10" t="n">
        <f aca="false">IF(K106&lt;&gt;".",IF(K106+K107&lt;&gt;0,IF(K106+K107+L105=3,1,MOD(K106+K107+L105-1,2)),0),L105)</f>
        <v>0</v>
      </c>
      <c r="L105" s="10" t="n">
        <f aca="false">IF(L106&lt;&gt;".",IF(L106+L107&lt;&gt;0,IF(L106+L107+M105=3,1,MOD(L106+L107+M105-1,2)),0),M105)</f>
        <v>0</v>
      </c>
      <c r="M105" s="10" t="n">
        <f aca="false">IF(M106&lt;&gt;".",IF(M106+M107&lt;&gt;0,IF(M106+M107+N105=3,1,MOD(M106+M107+N105-1,2)),0),N105)</f>
        <v>0</v>
      </c>
      <c r="N105" s="10" t="n">
        <f aca="false">IF(N106&lt;&gt;".",IF(N106+N107&lt;&gt;0,IF(N106+N107+O105=3,1,MOD(N106+N107+O105-1,2)),0),O105)</f>
        <v>1</v>
      </c>
      <c r="O105" s="10" t="n">
        <f aca="false">IF(O106&lt;&gt;".",IF(O106+O107&lt;&gt;0,IF(O106+O107+P105=3,1,MOD(O106+O107+P105-1,2)),0),P105)</f>
        <v>1</v>
      </c>
      <c r="P105" s="10" t="n">
        <f aca="false">IF(P106&lt;&gt;".",IF(P106+P107&lt;&gt;0,IF(P106+P107+Q105=3,1,MOD(P106+P107+Q105-1,2)),0),Q105)</f>
        <v>1</v>
      </c>
      <c r="Q105" s="10" t="n">
        <f aca="false">IF(Q106&lt;&gt;".",IF(Q106+Q107&lt;&gt;0,IF(Q106+Q107+R105=3,1,MOD(Q106+Q107+R105-1,2)),0),R105)</f>
        <v>1</v>
      </c>
      <c r="R105" s="10" t="n">
        <f aca="false">IF(R106&lt;&gt;".",IF(R106+R107&lt;&gt;0,IF(R106+R107+S105=3,1,MOD(R106+R107+S105-1,2)),0),S105)</f>
        <v>0</v>
      </c>
      <c r="S105" s="10" t="n">
        <f aca="false">IF(S106&lt;&gt;".",IF(S106+S107&lt;&gt;0,IF(S106+S107+T105=3,1,MOD(S106+S107+T105-1,2)),0),T105)</f>
        <v>1</v>
      </c>
      <c r="T105" s="10" t="n">
        <f aca="false">IF(T106&lt;&gt;".",IF(T106+T107&lt;&gt;0,IF(T106+T107+U105=3,1,MOD(T106+T107+U105-1,2)),0),U105)</f>
        <v>1</v>
      </c>
      <c r="U105" s="10" t="n">
        <f aca="false">IF(U106&lt;&gt;".",IF(U106+U107&lt;&gt;0,IF(U106+U107+V105=3,1,MOD(U106+U107+V105-1,2)),0),V105)</f>
        <v>1</v>
      </c>
      <c r="V105" s="10" t="n">
        <f aca="false">IF(V106&lt;&gt;".",IF(V106+V107&lt;&gt;0,IF(V106+V107+W105=3,1,MOD(V106+V107+W105-1,2)),0),W105)</f>
        <v>1</v>
      </c>
      <c r="W105" s="10" t="n">
        <f aca="false">IF(W106&lt;&gt;".",IF(W106+W107&lt;&gt;0,IF(W106+W107+X105=3,1,MOD(W106+W107+X105-1,2)),0),X105)</f>
        <v>1</v>
      </c>
      <c r="X105" s="10" t="n">
        <f aca="false">IF(X106&lt;&gt;".",IF(X106+X107&lt;&gt;0,IF(X106+X107+Y105=3,1,MOD(X106+X107+Y105-1,2)),0),Y105)</f>
        <v>1</v>
      </c>
      <c r="Y105" s="10" t="n">
        <f aca="false">IF(Y106&lt;&gt;".",IF(Y106+Y107&lt;&gt;0,IF(Y106+Y107+Z105=3,1,MOD(Y106+Y107+Z105-1,2)),0),Z105)</f>
        <v>1</v>
      </c>
    </row>
    <row r="106" customFormat="false" ht="12.8" hidden="false" customHeight="false" outlineLevel="0" collapsed="false">
      <c r="F106" s="14" t="s">
        <v>73</v>
      </c>
      <c r="G106" s="2" t="str">
        <f aca="false">G18</f>
        <v>1</v>
      </c>
      <c r="H106" s="2" t="str">
        <f aca="false">H18</f>
        <v>0</v>
      </c>
      <c r="I106" s="2" t="str">
        <f aca="false">I18</f>
        <v>1</v>
      </c>
      <c r="J106" s="2" t="str">
        <f aca="false">J18</f>
        <v>0</v>
      </c>
      <c r="K106" s="2" t="str">
        <f aca="false">K18</f>
        <v>.</v>
      </c>
      <c r="L106" s="2" t="str">
        <f aca="false">L18</f>
        <v>0</v>
      </c>
      <c r="M106" s="2" t="str">
        <f aca="false">M18</f>
        <v>0</v>
      </c>
      <c r="N106" s="2" t="str">
        <f aca="false">N18</f>
        <v>0</v>
      </c>
      <c r="O106" s="2" t="str">
        <f aca="false">O18</f>
        <v>0</v>
      </c>
      <c r="P106" s="2" t="str">
        <f aca="false">P18</f>
        <v>.</v>
      </c>
      <c r="Q106" s="2" t="str">
        <f aca="false">Q18</f>
        <v>1</v>
      </c>
      <c r="R106" s="2" t="str">
        <f aca="false">R18</f>
        <v>0</v>
      </c>
      <c r="S106" s="2" t="str">
        <f aca="false">S18</f>
        <v>0</v>
      </c>
      <c r="T106" s="2" t="str">
        <f aca="false">T18</f>
        <v>0</v>
      </c>
      <c r="U106" s="2" t="str">
        <f aca="false">U18</f>
        <v>.</v>
      </c>
      <c r="V106" s="2" t="str">
        <f aca="false">V18</f>
        <v>0</v>
      </c>
      <c r="W106" s="2" t="str">
        <f aca="false">W18</f>
        <v>0</v>
      </c>
      <c r="X106" s="2" t="str">
        <f aca="false">X18</f>
        <v>1</v>
      </c>
      <c r="Y106" s="2" t="str">
        <f aca="false">Y18</f>
        <v>1</v>
      </c>
      <c r="AC106" s="0" t="s">
        <v>74</v>
      </c>
      <c r="AD106" s="5" t="n">
        <f aca="false">C18</f>
        <v>-24445</v>
      </c>
    </row>
    <row r="107" customFormat="false" ht="12.8" hidden="false" customHeight="false" outlineLevel="0" collapsed="false">
      <c r="E107" s="3" t="s">
        <v>50</v>
      </c>
      <c r="F107" s="0" t="s">
        <v>65</v>
      </c>
      <c r="G107" s="2" t="str">
        <f aca="false">G10</f>
        <v>0</v>
      </c>
      <c r="H107" s="2" t="str">
        <f aca="false">H10</f>
        <v>1</v>
      </c>
      <c r="I107" s="2" t="str">
        <f aca="false">I10</f>
        <v>1</v>
      </c>
      <c r="J107" s="2" t="str">
        <f aca="false">J10</f>
        <v>1</v>
      </c>
      <c r="K107" s="2" t="str">
        <f aca="false">K10</f>
        <v>.</v>
      </c>
      <c r="L107" s="2" t="str">
        <f aca="false">L10</f>
        <v>1</v>
      </c>
      <c r="M107" s="2" t="str">
        <f aca="false">M10</f>
        <v>0</v>
      </c>
      <c r="N107" s="2" t="str">
        <f aca="false">N10</f>
        <v>1</v>
      </c>
      <c r="O107" s="2" t="str">
        <f aca="false">O10</f>
        <v>1</v>
      </c>
      <c r="P107" s="2" t="str">
        <f aca="false">P10</f>
        <v>.</v>
      </c>
      <c r="Q107" s="2" t="str">
        <f aca="false">Q10</f>
        <v>1</v>
      </c>
      <c r="R107" s="2" t="str">
        <f aca="false">R10</f>
        <v>0</v>
      </c>
      <c r="S107" s="2" t="str">
        <f aca="false">S10</f>
        <v>1</v>
      </c>
      <c r="T107" s="2" t="str">
        <f aca="false">T10</f>
        <v>1</v>
      </c>
      <c r="U107" s="2" t="str">
        <f aca="false">U10</f>
        <v>.</v>
      </c>
      <c r="V107" s="2" t="str">
        <f aca="false">V10</f>
        <v>1</v>
      </c>
      <c r="W107" s="2" t="str">
        <f aca="false">W10</f>
        <v>1</v>
      </c>
      <c r="X107" s="2" t="str">
        <f aca="false">X10</f>
        <v>1</v>
      </c>
      <c r="Y107" s="2" t="str">
        <f aca="false">Y10</f>
        <v>1</v>
      </c>
      <c r="AA107" s="0" t="s">
        <v>52</v>
      </c>
      <c r="AB107" s="3" t="s">
        <v>50</v>
      </c>
      <c r="AC107" s="0" t="s">
        <v>66</v>
      </c>
      <c r="AD107" s="5" t="n">
        <f aca="false">C10</f>
        <v>31679</v>
      </c>
    </row>
    <row r="108" customFormat="false" ht="12.8" hidden="false" customHeight="false" outlineLevel="0" collapsed="false">
      <c r="G108" s="11" t="n">
        <f aca="false">IF(G106&lt;&gt;".",MOD(H105+G106+G107,2),".")</f>
        <v>0</v>
      </c>
      <c r="H108" s="11" t="n">
        <f aca="false">IF(H106&lt;&gt;".",MOD(I105+H106+H107,2),".")</f>
        <v>0</v>
      </c>
      <c r="I108" s="11" t="n">
        <f aca="false">IF(I106&lt;&gt;".",MOD(J105+I106+I107,2),".")</f>
        <v>0</v>
      </c>
      <c r="J108" s="11" t="n">
        <f aca="false">IF(J106&lt;&gt;".",MOD(K105+J106+J107,2),".")</f>
        <v>1</v>
      </c>
      <c r="K108" s="11" t="str">
        <f aca="false">IF(K106&lt;&gt;".",MOD(L105+K106+K107,2),".")</f>
        <v>.</v>
      </c>
      <c r="L108" s="11" t="n">
        <f aca="false">IF(L106&lt;&gt;".",MOD(M105+L106+L107,2),".")</f>
        <v>1</v>
      </c>
      <c r="M108" s="11" t="n">
        <f aca="false">IF(M106&lt;&gt;".",MOD(N105+M106+M107,2),".")</f>
        <v>1</v>
      </c>
      <c r="N108" s="11" t="n">
        <f aca="false">IF(N106&lt;&gt;".",MOD(O105+N106+N107,2),".")</f>
        <v>0</v>
      </c>
      <c r="O108" s="11" t="n">
        <f aca="false">IF(O106&lt;&gt;".",MOD(P105+O106+O107,2),".")</f>
        <v>0</v>
      </c>
      <c r="P108" s="11" t="str">
        <f aca="false">IF(P106&lt;&gt;".",MOD(Q105+P106+P107,2),".")</f>
        <v>.</v>
      </c>
      <c r="Q108" s="11" t="n">
        <f aca="false">IF(Q106&lt;&gt;".",MOD(R105+Q106+Q107,2),".")</f>
        <v>0</v>
      </c>
      <c r="R108" s="11" t="n">
        <f aca="false">IF(R106&lt;&gt;".",MOD(S105+R106+R107,2),".")</f>
        <v>1</v>
      </c>
      <c r="S108" s="11" t="n">
        <f aca="false">IF(S106&lt;&gt;".",MOD(T105+S106+S107,2),".")</f>
        <v>0</v>
      </c>
      <c r="T108" s="11" t="n">
        <f aca="false">IF(T106&lt;&gt;".",MOD(U105+T106+T107,2),".")</f>
        <v>0</v>
      </c>
      <c r="U108" s="11" t="str">
        <f aca="false">IF(U106&lt;&gt;".",MOD(V105+U106+U107,2),".")</f>
        <v>.</v>
      </c>
      <c r="V108" s="11" t="n">
        <f aca="false">IF(V106&lt;&gt;".",MOD(W105+V106+V107,2),".")</f>
        <v>0</v>
      </c>
      <c r="W108" s="11" t="n">
        <f aca="false">IF(W106&lt;&gt;".",MOD(X105+W106+W107,2),".")</f>
        <v>0</v>
      </c>
      <c r="X108" s="11" t="n">
        <f aca="false">IF(X106&lt;&gt;".",MOD(Y105+X106+X107,2),".")</f>
        <v>1</v>
      </c>
      <c r="Y108" s="11" t="n">
        <f aca="false">IF(Y106&lt;&gt;".",MOD(Z105+Y106+Y107,2),".")</f>
        <v>0</v>
      </c>
      <c r="Z108" s="2" t="s">
        <v>54</v>
      </c>
      <c r="AA108" s="0" t="n">
        <f aca="false">IF(G108=0,_xlfn.DECIMAL(G108&amp;H108&amp;I108&amp;J108&amp;L108&amp;M108&amp;N108&amp;O108&amp;Q108&amp;R108&amp;S108&amp;T108&amp;V108&amp;W108&amp;X108&amp;Y108,2),0-_xlfn.DECIMAL(G114&amp;H114&amp;I114&amp;J114&amp;L114&amp;M114&amp;N114&amp;O114&amp;Q114&amp;R114&amp;S114&amp;T114&amp;V114&amp;W114&amp;X114&amp;Y114,2))</f>
        <v>7234</v>
      </c>
      <c r="AD108" s="12" t="n">
        <f aca="false">AD106+AD107</f>
        <v>7234</v>
      </c>
    </row>
    <row r="110" customFormat="false" ht="12.8" hidden="false" customHeight="false" outlineLevel="0" collapsed="false">
      <c r="AA110" s="0" t="str">
        <f aca="false">IF(AND(AA108=AD108,T116=1),$AC$4,IF(AND(AA108=AD108,T116=0),$AC$3,IF(AND(G106+1-1=0,G107+1-1=0),$AC$5,$AC$6)))</f>
        <v>Результат корректен. Перенос из старшего разряда не учитывается.</v>
      </c>
    </row>
    <row r="111" customFormat="false" ht="12.8" hidden="false" customHeight="false" outlineLevel="0" collapsed="false">
      <c r="F111" s="0" t="s">
        <v>55</v>
      </c>
      <c r="G111" s="10" t="n">
        <f aca="false">IF(G112&lt;&gt;".",IF(G112+G113&lt;&gt;0,IF(G112+G113+H111=3,1,MOD(G112+G113+H111-1,2)),0),H111)</f>
        <v>0</v>
      </c>
      <c r="H111" s="10" t="n">
        <f aca="false">IF(H112&lt;&gt;".",IF(H112+H113&lt;&gt;0,IF(H112+H113+I111=3,1,MOD(H112+H113+I111-1,2)),0),I111)</f>
        <v>0</v>
      </c>
      <c r="I111" s="10" t="n">
        <f aca="false">IF(I112&lt;&gt;".",IF(I112+I113&lt;&gt;0,IF(I112+I113+J111=3,1,MOD(I112+I113+J111-1,2)),0),J111)</f>
        <v>0</v>
      </c>
      <c r="J111" s="10" t="n">
        <f aca="false">IF(J112&lt;&gt;".",IF(J112+J113&lt;&gt;0,IF(J112+J113+K111=3,1,MOD(J112+J113+K111-1,2)),0),K111)</f>
        <v>0</v>
      </c>
      <c r="K111" s="10" t="n">
        <f aca="false">IF(K112&lt;&gt;".",IF(K112+K113&lt;&gt;0,IF(K112+K113+L111=3,1,MOD(K112+K113+L111-1,2)),0),L111)</f>
        <v>0</v>
      </c>
      <c r="L111" s="10" t="n">
        <f aca="false">IF(L112&lt;&gt;".",IF(L112+L113&lt;&gt;0,IF(L112+L113+M111=3,1,MOD(L112+L113+M111-1,2)),0),M111)</f>
        <v>0</v>
      </c>
      <c r="M111" s="10" t="n">
        <f aca="false">IF(M112&lt;&gt;".",IF(M112+M113&lt;&gt;0,IF(M112+M113+N111=3,1,MOD(M112+M113+N111-1,2)),0),N111)</f>
        <v>0</v>
      </c>
      <c r="N111" s="10" t="n">
        <f aca="false">IF(N112&lt;&gt;".",IF(N112+N113&lt;&gt;0,IF(N112+N113+O111=3,1,MOD(N112+N113+O111-1,2)),0),O111)</f>
        <v>0</v>
      </c>
      <c r="O111" s="10" t="n">
        <f aca="false">IF(O112&lt;&gt;".",IF(O112+O113&lt;&gt;0,IF(O112+O113+P111=3,1,MOD(O112+O113+P111-1,2)),0),P111)</f>
        <v>0</v>
      </c>
      <c r="P111" s="10" t="n">
        <f aca="false">IF(P112&lt;&gt;".",IF(P112+P113&lt;&gt;0,IF(P112+P113+Q111=3,1,MOD(P112+P113+Q111-1,2)),0),Q111)</f>
        <v>0</v>
      </c>
      <c r="Q111" s="10" t="n">
        <f aca="false">IF(Q112&lt;&gt;".",IF(Q112+Q113&lt;&gt;0,IF(Q112+Q113+R111=3,1,MOD(Q112+Q113+R111-1,2)),0),R111)</f>
        <v>0</v>
      </c>
      <c r="R111" s="10" t="n">
        <f aca="false">IF(R112&lt;&gt;".",IF(R112+R113&lt;&gt;0,IF(R112+R113+S111=3,1,MOD(R112+R113+S111-1,2)),0),S111)</f>
        <v>0</v>
      </c>
      <c r="S111" s="10" t="n">
        <f aca="false">IF(S112&lt;&gt;".",IF(S112+S113&lt;&gt;0,IF(S112+S113+T111=3,1,MOD(S112+S113+T111-1,2)),0),T111)</f>
        <v>0</v>
      </c>
      <c r="T111" s="10" t="n">
        <f aca="false">IF(T112&lt;&gt;".",IF(T112+T113&lt;&gt;0,IF(T112+T113+U111=3,1,MOD(T112+T113+U111-1,2)),0),U111)</f>
        <v>0</v>
      </c>
      <c r="U111" s="10" t="n">
        <f aca="false">IF(U112&lt;&gt;".",IF(U112+U113&lt;&gt;0,IF(U112+U113+V111=3,1,MOD(U112+U113+V111-1,2)),0),V111)</f>
        <v>0</v>
      </c>
      <c r="V111" s="10" t="n">
        <f aca="false">IF(V112&lt;&gt;".",IF(V112+V113&lt;&gt;0,IF(V112+V113+W111=3,1,MOD(V112+V113+W111-1,2)),0),W111)</f>
        <v>0</v>
      </c>
      <c r="W111" s="10" t="n">
        <f aca="false">IF(W112&lt;&gt;".",IF(W112+W113&lt;&gt;0,IF(W112+W113+X111=3,1,MOD(W112+W113+X111-1,2)),0),X111)</f>
        <v>0</v>
      </c>
      <c r="X111" s="10" t="n">
        <f aca="false">IF(X112&lt;&gt;".",IF(X112+X113&lt;&gt;0,IF(X112+X113+Y111=3,1,MOD(X112+X113+Y111-1,2)),0),Y111)</f>
        <v>0</v>
      </c>
      <c r="Y111" s="10" t="n">
        <f aca="false">IF(Y112&lt;&gt;".",IF(Y112+Y113&lt;&gt;0,IF(Y112+Y113+Z111=3,1,MOD(Y112+Y113+Z111-1,2)),0),Z111)</f>
        <v>1</v>
      </c>
    </row>
    <row r="112" customFormat="false" ht="12.8" hidden="false" customHeight="false" outlineLevel="0" collapsed="false">
      <c r="F112" s="0" t="s">
        <v>56</v>
      </c>
      <c r="G112" s="2" t="n">
        <f aca="false">IF(G108&lt;&gt;".",MOD(G108+1,2),".")</f>
        <v>1</v>
      </c>
      <c r="H112" s="2" t="n">
        <f aca="false">IF(H108&lt;&gt;".",MOD(H108+1,2),".")</f>
        <v>1</v>
      </c>
      <c r="I112" s="2" t="n">
        <f aca="false">IF(I108&lt;&gt;".",MOD(I108+1,2),".")</f>
        <v>1</v>
      </c>
      <c r="J112" s="2" t="n">
        <f aca="false">IF(J108&lt;&gt;".",MOD(J108+1,2),".")</f>
        <v>0</v>
      </c>
      <c r="K112" s="2" t="str">
        <f aca="false">IF(K108&lt;&gt;".",MOD(K108+1,2),".")</f>
        <v>.</v>
      </c>
      <c r="L112" s="2" t="n">
        <f aca="false">IF(L108&lt;&gt;".",MOD(L108+1,2),".")</f>
        <v>0</v>
      </c>
      <c r="M112" s="2" t="n">
        <f aca="false">IF(M108&lt;&gt;".",MOD(M108+1,2),".")</f>
        <v>0</v>
      </c>
      <c r="N112" s="2" t="n">
        <f aca="false">IF(N108&lt;&gt;".",MOD(N108+1,2),".")</f>
        <v>1</v>
      </c>
      <c r="O112" s="2" t="n">
        <f aca="false">IF(O108&lt;&gt;".",MOD(O108+1,2),".")</f>
        <v>1</v>
      </c>
      <c r="P112" s="2" t="str">
        <f aca="false">IF(P108&lt;&gt;".",MOD(P108+1,2),".")</f>
        <v>.</v>
      </c>
      <c r="Q112" s="2" t="n">
        <f aca="false">IF(Q108&lt;&gt;".",MOD(Q108+1,2),".")</f>
        <v>1</v>
      </c>
      <c r="R112" s="2" t="n">
        <f aca="false">IF(R108&lt;&gt;".",MOD(R108+1,2),".")</f>
        <v>0</v>
      </c>
      <c r="S112" s="2" t="n">
        <f aca="false">IF(S108&lt;&gt;".",MOD(S108+1,2),".")</f>
        <v>1</v>
      </c>
      <c r="T112" s="2" t="n">
        <f aca="false">IF(T108&lt;&gt;".",MOD(T108+1,2),".")</f>
        <v>1</v>
      </c>
      <c r="U112" s="2" t="str">
        <f aca="false">IF(U108&lt;&gt;".",MOD(U108+1,2),".")</f>
        <v>.</v>
      </c>
      <c r="V112" s="2" t="n">
        <f aca="false">IF(V108&lt;&gt;".",MOD(V108+1,2),".")</f>
        <v>1</v>
      </c>
      <c r="W112" s="2" t="n">
        <f aca="false">IF(W108&lt;&gt;".",MOD(W108+1,2),".")</f>
        <v>1</v>
      </c>
      <c r="X112" s="2" t="n">
        <f aca="false">IF(X108&lt;&gt;".",MOD(X108+1,2),".")</f>
        <v>0</v>
      </c>
      <c r="Y112" s="2" t="n">
        <f aca="false">IF(Y108&lt;&gt;".",MOD(Y108+1,2),".")</f>
        <v>1</v>
      </c>
    </row>
    <row r="113" customFormat="false" ht="12.8" hidden="false" customHeight="false" outlineLevel="0" collapsed="false">
      <c r="F113" s="0" t="s">
        <v>57</v>
      </c>
      <c r="G113" s="2" t="n">
        <v>0</v>
      </c>
      <c r="H113" s="2" t="n">
        <v>0</v>
      </c>
      <c r="I113" s="2" t="n">
        <v>0</v>
      </c>
      <c r="J113" s="2" t="n">
        <v>0</v>
      </c>
      <c r="K113" s="2" t="s">
        <v>58</v>
      </c>
      <c r="L113" s="2" t="n">
        <v>0</v>
      </c>
      <c r="M113" s="2" t="n">
        <v>0</v>
      </c>
      <c r="N113" s="2" t="n">
        <v>0</v>
      </c>
      <c r="O113" s="2" t="n">
        <v>0</v>
      </c>
      <c r="P113" s="2" t="s">
        <v>58</v>
      </c>
      <c r="Q113" s="2" t="n">
        <v>0</v>
      </c>
      <c r="R113" s="2" t="n">
        <v>0</v>
      </c>
      <c r="S113" s="2" t="n">
        <v>0</v>
      </c>
      <c r="T113" s="2" t="n">
        <v>0</v>
      </c>
      <c r="U113" s="2" t="s">
        <v>58</v>
      </c>
      <c r="V113" s="2" t="n">
        <v>0</v>
      </c>
      <c r="W113" s="2" t="n">
        <v>0</v>
      </c>
      <c r="X113" s="2" t="n">
        <v>0</v>
      </c>
      <c r="Y113" s="2" t="n">
        <v>1</v>
      </c>
    </row>
    <row r="114" customFormat="false" ht="12.8" hidden="false" customHeight="false" outlineLevel="0" collapsed="false">
      <c r="G114" s="11" t="n">
        <f aca="false">IF(G112&lt;&gt;".",MOD(H111+G112+G113,2),".")</f>
        <v>1</v>
      </c>
      <c r="H114" s="11" t="n">
        <f aca="false">IF(H112&lt;&gt;".",MOD(I111+H112+H113,2),".")</f>
        <v>1</v>
      </c>
      <c r="I114" s="11" t="n">
        <f aca="false">IF(I112&lt;&gt;".",MOD(J111+I112+I113,2),".")</f>
        <v>1</v>
      </c>
      <c r="J114" s="11" t="n">
        <f aca="false">IF(J112&lt;&gt;".",MOD(K111+J112+J113,2),".")</f>
        <v>0</v>
      </c>
      <c r="K114" s="11" t="str">
        <f aca="false">IF(K112&lt;&gt;".",MOD(L111+K112+K113,2),".")</f>
        <v>.</v>
      </c>
      <c r="L114" s="11" t="n">
        <f aca="false">IF(L112&lt;&gt;".",MOD(M111+L112+L113,2),".")</f>
        <v>0</v>
      </c>
      <c r="M114" s="11" t="n">
        <f aca="false">IF(M112&lt;&gt;".",MOD(N111+M112+M113,2),".")</f>
        <v>0</v>
      </c>
      <c r="N114" s="11" t="n">
        <f aca="false">IF(N112&lt;&gt;".",MOD(O111+N112+N113,2),".")</f>
        <v>1</v>
      </c>
      <c r="O114" s="11" t="n">
        <f aca="false">IF(O112&lt;&gt;".",MOD(P111+O112+O113,2),".")</f>
        <v>1</v>
      </c>
      <c r="P114" s="11" t="str">
        <f aca="false">IF(P112&lt;&gt;".",MOD(Q111+P112+P113,2),".")</f>
        <v>.</v>
      </c>
      <c r="Q114" s="11" t="n">
        <f aca="false">IF(Q112&lt;&gt;".",MOD(R111+Q112+Q113,2),".")</f>
        <v>1</v>
      </c>
      <c r="R114" s="11" t="n">
        <f aca="false">IF(R112&lt;&gt;".",MOD(S111+R112+R113,2),".")</f>
        <v>0</v>
      </c>
      <c r="S114" s="11" t="n">
        <f aca="false">IF(S112&lt;&gt;".",MOD(T111+S112+S113,2),".")</f>
        <v>1</v>
      </c>
      <c r="T114" s="11" t="n">
        <f aca="false">IF(T112&lt;&gt;".",MOD(U111+T112+T113,2),".")</f>
        <v>1</v>
      </c>
      <c r="U114" s="11" t="str">
        <f aca="false">IF(U112&lt;&gt;".",MOD(V111+U112+U113,2),".")</f>
        <v>.</v>
      </c>
      <c r="V114" s="11" t="n">
        <f aca="false">IF(V112&lt;&gt;".",MOD(W111+V112+V113,2),".")</f>
        <v>1</v>
      </c>
      <c r="W114" s="11" t="n">
        <f aca="false">IF(W112&lt;&gt;".",MOD(X111+W112+W113,2),".")</f>
        <v>1</v>
      </c>
      <c r="X114" s="11" t="n">
        <f aca="false">IF(X112&lt;&gt;".",MOD(Y111+X112+X113,2),".")</f>
        <v>1</v>
      </c>
      <c r="Y114" s="11" t="n">
        <f aca="false">IF(Y112&lt;&gt;".",MOD(Z111+Y112+Y113,2),".")</f>
        <v>0</v>
      </c>
    </row>
    <row r="116" customFormat="false" ht="12.8" hidden="false" customHeight="false" outlineLevel="0" collapsed="false">
      <c r="G116" s="0" t="s">
        <v>59</v>
      </c>
      <c r="H116" s="13" t="n">
        <f aca="false">G108</f>
        <v>0</v>
      </c>
      <c r="J116" s="0" t="s">
        <v>60</v>
      </c>
      <c r="K116" s="13" t="n">
        <f aca="false">IF(AA108=0,0,1)</f>
        <v>1</v>
      </c>
      <c r="M116" s="0" t="s">
        <v>61</v>
      </c>
      <c r="N116" s="13" t="n">
        <f aca="false">MOD(SUM(Q114:T114)+SUM(V114:Y114)+1,2)</f>
        <v>1</v>
      </c>
      <c r="P116" s="0" t="s">
        <v>62</v>
      </c>
      <c r="Q116" s="13" t="n">
        <f aca="false">U105</f>
        <v>1</v>
      </c>
      <c r="S116" s="0" t="s">
        <v>63</v>
      </c>
      <c r="T116" s="13" t="n">
        <f aca="false">G105</f>
        <v>1</v>
      </c>
      <c r="V116" s="0" t="s">
        <v>64</v>
      </c>
      <c r="W116" s="13" t="n">
        <f aca="false">MOD(G105+H105,2)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&amp;CФедоров Вадим Сергеевич, Вариант 1, lab5.ods</oddHeader>
    <oddFooter>&amp;C24.12.2025 3:18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2025-12-24T02:56:50Z</dcterms:created>
  <dc:creator/>
  <dc:description/>
  <dc:language>ru-RU</dc:language>
  <cp:lastModifiedBy/>
  <dcterms:modified xsi:type="dcterms:W3CDTF">2025-12-24T05:15:04Z</dcterms:modified>
  <cp:revision>3</cp:revision>
  <dc:subject/>
  <dc:title/>
</cp:coreProperties>
</file>